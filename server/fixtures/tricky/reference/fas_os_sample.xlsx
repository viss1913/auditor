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vdonskiy\OneDrive - Mazars Russia\Документы\Консалтинги\ИИ FAS\"/>
    </mc:Choice>
  </mc:AlternateContent>
  <xr:revisionPtr revIDLastSave="0" documentId="13_ncr:1_{197F42A5-67EB-4EB7-93CC-4C54D23E1A26}" xr6:coauthVersionLast="47" xr6:coauthVersionMax="47" xr10:uidLastSave="{00000000-0000-0000-0000-000000000000}"/>
  <bookViews>
    <workbookView xWindow="-110" yWindow="-110" windowWidth="19420" windowHeight="10420" tabRatio="942" activeTab="4" xr2:uid="{9AF8C986-DA38-4698-9F30-43F67215A1A8}"/>
  </bookViews>
  <sheets>
    <sheet name="Результат для отчёта" sheetId="9" r:id="rId1"/>
    <sheet name="Мэппинг ручной - пример по 01" sheetId="10" r:id="rId2"/>
    <sheet name="Исходная выгрузка 01" sheetId="4" r:id="rId3"/>
    <sheet name="Мэппинг ручной - пример по 08" sheetId="20" r:id="rId4"/>
    <sheet name="Исходная выгрузка 08" sheetId="19" r:id="rId5"/>
  </sheets>
  <definedNames>
    <definedName name="_xlnm._FilterDatabase" localSheetId="1" hidden="1">'Мэппинг ручной - пример по 01'!$A$8:$O$12</definedName>
    <definedName name="_xlnm._FilterDatabase" localSheetId="3" hidden="1">'Мэппинг ручной - пример по 08'!$A$11:$I$26</definedName>
    <definedName name="_xlnm._FilterDatabase" localSheetId="0" hidden="1">'Результат для отчёта'!$B$16:$H$16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" i="9" l="1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J5" i="9"/>
  <c r="K5" i="9"/>
  <c r="L5" i="9"/>
  <c r="M5" i="9"/>
  <c r="J6" i="9"/>
  <c r="K6" i="9"/>
  <c r="L6" i="9"/>
  <c r="M6" i="9"/>
  <c r="J7" i="9"/>
  <c r="K7" i="9"/>
  <c r="L7" i="9"/>
  <c r="M7" i="9"/>
  <c r="J8" i="9"/>
  <c r="K8" i="9"/>
  <c r="L8" i="9"/>
  <c r="M8" i="9"/>
  <c r="J9" i="9"/>
  <c r="K9" i="9"/>
  <c r="L9" i="9"/>
  <c r="M9" i="9"/>
  <c r="J10" i="9"/>
  <c r="K10" i="9"/>
  <c r="L10" i="9"/>
  <c r="M10" i="9"/>
  <c r="J11" i="9"/>
  <c r="K11" i="9"/>
  <c r="L11" i="9"/>
  <c r="M11" i="9"/>
  <c r="K4" i="9"/>
  <c r="L4" i="9"/>
  <c r="M4" i="9"/>
  <c r="J4" i="9"/>
  <c r="D22" i="9"/>
  <c r="C22" i="9"/>
  <c r="D12" i="9"/>
  <c r="E12" i="9"/>
  <c r="F12" i="9"/>
  <c r="G12" i="9"/>
  <c r="H12" i="9"/>
  <c r="C1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LEVDONSKIY Anton</author>
  </authors>
  <commentList>
    <comment ref="B3" authorId="0" shapeId="0" xr:uid="{C9DA174F-8B2B-43F9-896A-44A9BE6B6464}">
      <text>
        <r>
          <rPr>
            <b/>
            <sz val="9"/>
            <color indexed="81"/>
            <rFont val="Tahoma"/>
            <charset val="1"/>
          </rPr>
          <t>LEVDONSKIY Anton:</t>
        </r>
        <r>
          <rPr>
            <sz val="9"/>
            <color indexed="81"/>
            <rFont val="Tahoma"/>
            <charset val="1"/>
          </rPr>
          <t xml:space="preserve">
Минимальное содержание данных. При необходоимти делаются таблицы в других форматах и категоризации, например, не группы ОС а подразделения (ОП) или подразделения (ОП) + группы ОС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LEVDONSKIY Anton</author>
  </authors>
  <commentList>
    <comment ref="C9" authorId="0" shapeId="0" xr:uid="{5F466056-71CD-45FE-A329-C8CD89AC6E1D}">
      <text>
        <r>
          <rPr>
            <b/>
            <sz val="9"/>
            <color indexed="81"/>
            <rFont val="Tahoma"/>
            <charset val="1"/>
          </rPr>
          <t>LEVDONSKIY Anton:</t>
        </r>
        <r>
          <rPr>
            <sz val="9"/>
            <color indexed="81"/>
            <rFont val="Tahoma"/>
            <charset val="1"/>
          </rPr>
          <t xml:space="preserve">
Удалена одна из 4 категорий т.к. она была не информацтивна в рамках конкртеного проекта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LEVDONSKIY Anton</author>
  </authors>
  <commentList>
    <comment ref="B1" authorId="0" shapeId="0" xr:uid="{FED6281C-CC1F-4884-BF1D-AFBBD4BA5BC5}">
      <text>
        <r>
          <rPr>
            <b/>
            <sz val="9"/>
            <color indexed="81"/>
            <rFont val="Tahoma"/>
            <charset val="1"/>
          </rPr>
          <t>LEVDONSKIY Anton:</t>
        </r>
        <r>
          <rPr>
            <sz val="9"/>
            <color indexed="81"/>
            <rFont val="Tahoma"/>
            <charset val="1"/>
          </rPr>
          <t xml:space="preserve">
По факту было более 1000 строк, сокращено для целей примера / конфиденциальности </t>
        </r>
      </text>
    </comment>
    <comment ref="B16" authorId="0" shapeId="0" xr:uid="{D95BA81B-EB9F-4FFE-88C8-F7BAAE39FD19}">
      <text>
        <r>
          <rPr>
            <b/>
            <sz val="9"/>
            <color indexed="81"/>
            <rFont val="Tahoma"/>
            <charset val="1"/>
          </rPr>
          <t>LEVDONSKIY Anton:</t>
        </r>
        <r>
          <rPr>
            <sz val="9"/>
            <color indexed="81"/>
            <rFont val="Tahoma"/>
            <charset val="1"/>
          </rPr>
          <t xml:space="preserve">
Полезные данные могут быть в самой ячейке, например, дата поставновки на учёт или инв. номер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LEVDONSKIY Anton</author>
  </authors>
  <commentList>
    <comment ref="C12" authorId="0" shapeId="0" xr:uid="{283402A1-1422-44F4-8EA6-E165CA995EF2}">
      <text>
        <r>
          <rPr>
            <b/>
            <sz val="9"/>
            <color indexed="81"/>
            <rFont val="Tahoma"/>
            <charset val="1"/>
          </rPr>
          <t>LEVDONSKIY Anton:</t>
        </r>
        <r>
          <rPr>
            <sz val="9"/>
            <color indexed="81"/>
            <rFont val="Tahoma"/>
            <charset val="1"/>
          </rPr>
          <t xml:space="preserve">
Полезные данные могут быть в самой ячейке, например, дата поставновки на учёт или инв. номер</t>
        </r>
      </text>
    </comment>
  </commentList>
</comments>
</file>

<file path=xl/sharedStrings.xml><?xml version="1.0" encoding="utf-8"?>
<sst xmlns="http://schemas.openxmlformats.org/spreadsheetml/2006/main" count="210" uniqueCount="136">
  <si>
    <t>Выводимые данные: БУ (данные бухгалтерского учета)</t>
  </si>
  <si>
    <t>Группа учета ОС</t>
  </si>
  <si>
    <t>На начало периода</t>
  </si>
  <si>
    <t>За период</t>
  </si>
  <si>
    <t>На конец периода</t>
  </si>
  <si>
    <t>Подразделение</t>
  </si>
  <si>
    <t>Стоимость</t>
  </si>
  <si>
    <t>Амортизация (износ)</t>
  </si>
  <si>
    <t>Остаточная стоимость</t>
  </si>
  <si>
    <t>Увеличение стоимости</t>
  </si>
  <si>
    <t>Начисление амортизации (износа)</t>
  </si>
  <si>
    <t>Уменьшение стоимости</t>
  </si>
  <si>
    <t>Списание амортизации (износа)</t>
  </si>
  <si>
    <t>Основное средство, Инвентарный номер, Дата принятия к учету</t>
  </si>
  <si>
    <t>Здания</t>
  </si>
  <si>
    <t>КЦ</t>
  </si>
  <si>
    <t>ОП КЦ</t>
  </si>
  <si>
    <t>РТК Волгоград</t>
  </si>
  <si>
    <t>Блок-контейнер 5,0х2,4х2,5 (санузел), 000002272, 01.10.2018</t>
  </si>
  <si>
    <t>РТК Казань</t>
  </si>
  <si>
    <t>Вагон-дом на раме "Торос" 8 м. (зав.№ 809), 80-000051, 19.03.2020</t>
  </si>
  <si>
    <t>РТК Краснодар</t>
  </si>
  <si>
    <t>Блок-контейнер 2,5*2,5м, 000001713, 18.09.2013</t>
  </si>
  <si>
    <t>РТК Москва</t>
  </si>
  <si>
    <t>РТК Оренбург</t>
  </si>
  <si>
    <t>РТК Ростов-на-Дону</t>
  </si>
  <si>
    <t>РТК Санкт-Петербург</t>
  </si>
  <si>
    <t>Сооружения</t>
  </si>
  <si>
    <t>Машины и оборудование (кроме офисного)</t>
  </si>
  <si>
    <t>РТК Пермь</t>
  </si>
  <si>
    <t>Офисное оборудование</t>
  </si>
  <si>
    <t>ОП Волгоград</t>
  </si>
  <si>
    <t>ОП Ростов</t>
  </si>
  <si>
    <t>Транспортные средства</t>
  </si>
  <si>
    <t>Производственный и хозяйственный инвентарь</t>
  </si>
  <si>
    <t>Земельные участки</t>
  </si>
  <si>
    <t>Другие виды основных средств</t>
  </si>
  <si>
    <t>ОП Минеральные воды</t>
  </si>
  <si>
    <t>ППА аренда Офиса , 80-000473, 31.12.2021</t>
  </si>
  <si>
    <t>Итого</t>
  </si>
  <si>
    <t>Ремонт помещений Электроподстанции 23с инв.№00000008 г. Ростов, 80-000649, 03.07.2023</t>
  </si>
  <si>
    <t>Ведомость амортизации ОС за 2024 г.</t>
  </si>
  <si>
    <t>Ведомость амортизации ОС за 9 месяцев 2025 г.</t>
  </si>
  <si>
    <t>На начало</t>
  </si>
  <si>
    <t>Амортизация</t>
  </si>
  <si>
    <t>2022 - начало</t>
  </si>
  <si>
    <t>2022 - амортизация</t>
  </si>
  <si>
    <t>2022 - конец</t>
  </si>
  <si>
    <t>2023 - начало</t>
  </si>
  <si>
    <t>2023 - амортизация</t>
  </si>
  <si>
    <t>2023 - конец</t>
  </si>
  <si>
    <t>2024 - начало</t>
  </si>
  <si>
    <t>2024 - амортизация</t>
  </si>
  <si>
    <t>2024 - конец</t>
  </si>
  <si>
    <t>2025 - начало</t>
  </si>
  <si>
    <t>2025 - амортизация</t>
  </si>
  <si>
    <t>2025 - конец</t>
  </si>
  <si>
    <t>Другие виды основных средств (ППА)</t>
  </si>
  <si>
    <t>Группа</t>
  </si>
  <si>
    <t>ОС</t>
  </si>
  <si>
    <t>ООО</t>
  </si>
  <si>
    <t>ОАО</t>
  </si>
  <si>
    <t>Неотделимые улучшения в арендованный офис ул.Профсоюзная</t>
  </si>
  <si>
    <t>Ремонт помещений первого этажа АБК  инв. №391 (арендодатель ООО "АБВ №1"), 80-000796, 01.11.2024</t>
  </si>
  <si>
    <t>ППА аренда имущественного комплекса Москва Д.с 1 от 01.12.2022 к дог. АБВ-2 от 01.01.2021, 80-000593, 31.12.2022</t>
  </si>
  <si>
    <t>ОП АБГ-Волгоград</t>
  </si>
  <si>
    <t>ОП АБГ-Казань</t>
  </si>
  <si>
    <t>ОП АБГ-Анапа</t>
  </si>
  <si>
    <t>ОП АБГ-Москва 4</t>
  </si>
  <si>
    <t>ОП АБГ-Москва</t>
  </si>
  <si>
    <t>ОП АБГ-Оренбург</t>
  </si>
  <si>
    <t>Текущий ремонт крепления силового кабеля козлового крана на территории ОП АБГ-Оренбург, 80-000676, 31.10.2023</t>
  </si>
  <si>
    <t>ОП АБГ-Пермь</t>
  </si>
  <si>
    <t>ОП АБГ-Ростов</t>
  </si>
  <si>
    <t>ОП АБГ-Волхонка</t>
  </si>
  <si>
    <t>ППА аренда земельного участка (ООО Связист), 80-000468, 31.12.2021</t>
  </si>
  <si>
    <t>ППА аренда зданий сооружений (ООО Связист), 80-000469, 31.12.2021</t>
  </si>
  <si>
    <t>Оборотно-сальдовая ведомость по счету 08 за Январь 2022 г. - Сентябрь 2025 г.</t>
  </si>
  <si>
    <t>Счет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</si>
  <si>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</si>
  <si>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</si>
  <si>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</si>
  <si>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</si>
  <si>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</si>
  <si>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Объекты строительства</t>
  </si>
  <si>
    <t>08</t>
  </si>
  <si>
    <t>08.03</t>
  </si>
  <si>
    <t>Дооборудование Сервер с ИБП инв. №80-000662</t>
  </si>
  <si>
    <t>Обороты за 2023</t>
  </si>
  <si>
    <t>Дооборудование Аудиовидеосистема Yealink UVC84-BYOD-21 инв.№80-000502 доп. микрофон</t>
  </si>
  <si>
    <t>Дооборудование Система видеонаблюдения, инв. № 000001940</t>
  </si>
  <si>
    <t>Обороты за 2024</t>
  </si>
  <si>
    <t>Дооборудование УАТС серии IPECS-UCP600 инв.№ 000001954 установка модуля на 24 порта</t>
  </si>
  <si>
    <t>Обороты за 2022</t>
  </si>
  <si>
    <t>Модернизация "Структурная кабельная сеть СКС" инв. № 000001943 (Доп.согл. №09 к дог. 10/07-2019)</t>
  </si>
  <si>
    <t>Модернизация СВН, инв. № 000001940</t>
  </si>
  <si>
    <t>Обороты за 2025</t>
  </si>
  <si>
    <t>08.04.2</t>
  </si>
  <si>
    <t>08.05</t>
  </si>
  <si>
    <t>1С:Предприятие 8 ПРОФ. Лицензия на сервер (х86-64). Коробочная поставка</t>
  </si>
  <si>
    <t>Оборотно-сальдовая ведоPость по счету 08 за Январь 2022 г. - Сентябрь 2025 г.</t>
  </si>
  <si>
    <t>ВыводиPые данные: БУ (данные бухгалтерского учета)</t>
  </si>
  <si>
    <t>Дооборудование АудиовидеосистеPа Yealink UVC84-BYOD-21 инв.№80-000502 доп. Pикрофон</t>
  </si>
  <si>
    <t>Дооборудование СистеPа видеонаблюдения, инв. № 000001940</t>
  </si>
  <si>
    <t>ОП</t>
  </si>
  <si>
    <t>Год</t>
  </si>
  <si>
    <t>Объект</t>
  </si>
  <si>
    <t>Дт начало</t>
  </si>
  <si>
    <t>Кт начало</t>
  </si>
  <si>
    <t>Дт оброт</t>
  </si>
  <si>
    <t>Кт оборот</t>
  </si>
  <si>
    <t>Дт конец</t>
  </si>
  <si>
    <t>Кт конец</t>
  </si>
  <si>
    <t>ППА аренда имущественного комплекса (Волгоград) доп.согл. 1 от 01.12.2022 к дог. АБВГ-2 от 01.01.2021</t>
  </si>
  <si>
    <t>ППА аренда имущественного комплекса (ЕКТ) по Доп.согл. 1 от 01.12.2022 к дог. АБВГ-2 от 01.01.21</t>
  </si>
  <si>
    <t>ОП АБВГ-Волгоград</t>
  </si>
  <si>
    <t>ОП АБВГ-Екатеринбург</t>
  </si>
  <si>
    <t>ОП АБВГ-Петербург</t>
  </si>
  <si>
    <t>ППА аренда нежилого помещения S 77.3 кв.м. эт.1, помещ.- III комн. 1  80-000643, 26.06.2023</t>
  </si>
  <si>
    <t>ППА Участок склад-ния,мостовой кран, по адресу г.Оренбург ,ул.Ленина ,12 (пл - 5000,00 кв.м.), 80-000460, 31.12.2021</t>
  </si>
  <si>
    <t>ППА аренда Части нежилого помещения по адресу г.Оренбург ,ул.,14 (пл.157,6 кв.м.), 80-000461, 31.12.2021</t>
  </si>
  <si>
    <t>ППА аренда открытой площадки, кранов, помещений ПЕРМЬОПТТОРГ, 80-000446, 31.12.2021</t>
  </si>
  <si>
    <t>ППА аренда Имущественного комплекса (Ростов) доп.согл. 1 от 01.12.2022 к дог. АБВ-2 от 01.01.2024, 80-000595, 31.12.2022</t>
  </si>
  <si>
    <t>ППА аренда площадки (Фирма Сервис), 80-000475, 31.12.2021</t>
  </si>
  <si>
    <t>ППА аренда автомобиля Mercedes-Benz V 250</t>
  </si>
  <si>
    <t>ППА аренда автомобиля Mercedes-Benz ML 300</t>
  </si>
  <si>
    <t>ППА аренда офисных помещений  (аренда 21 этаж помещение ХХХ), 80-000479, 31.12.2021</t>
  </si>
  <si>
    <t>ППА аренда машиномест, 80-560482, 31.12.2021</t>
  </si>
  <si>
    <t>ППА аренда офисных помещений  31.12.2023</t>
  </si>
  <si>
    <t>Вагон-дом на раме "Торос" 11,5 м., 000002222, 29.06.2020</t>
  </si>
  <si>
    <t>Модульное здание 3м*10,6м, 80-000722, 23.04.2025</t>
  </si>
  <si>
    <t>Неотделимые улучшения в арендованный офис ул.Профсоюзная 2</t>
  </si>
  <si>
    <t>Модульное здание 3м*10,6м, 80-000722, 23.04.2012</t>
  </si>
  <si>
    <t>ППА аренда вагон-бытовки и кабинета №6 (10,75*4кв.м.) по адресу г. Мин.воды</t>
  </si>
  <si>
    <t>ППА аренда офисных помещений г. Оренбург</t>
  </si>
  <si>
    <t>Фирменный стиль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</si>
</sst>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\(#,##0\);\-"/>
  </numFmts>
  <fonts count="24" x14ac:knownFonts="1"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</font>
    <font>
      <sz val="10"/>
      <color rgb="FF003F2F"/>
      <name val="Arial"/>
      <family val="2"/>
    </font>
    <font>
      <sz val="9"/>
      <color rgb="FF003F2F"/>
      <name val="Arial"/>
      <family val="2"/>
    </font>
    <font>
      <sz val="9"/>
      <name val="Arial"/>
      <family val="2"/>
    </font>
    <font>
      <b/>
      <sz val="10"/>
      <color rgb="FF003F2F"/>
      <name val="Arial"/>
      <family val="2"/>
    </font>
    <font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rgb="FF1D4B3D"/>
      <name val="Arial"/>
      <family val="2"/>
    </font>
    <font>
      <b/>
      <sz val="8"/>
      <color rgb="FFFFFFFF"/>
      <name val="Arial"/>
      <family val="2"/>
      <charset val="204"/>
    </font>
    <font>
      <sz val="8"/>
      <color rgb="FF1D4B3D"/>
      <name val="Arial"/>
      <family val="2"/>
    </font>
    <font>
      <b/>
      <sz val="8"/>
      <color rgb="FF1D4B3D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rial"/>
    </font>
    <font>
      <sz val="10"/>
      <color rgb="FF003F2F"/>
      <name val="Arial"/>
      <family val="2"/>
      <charset val="204"/>
    </font>
    <font>
      <sz val="9"/>
      <color rgb="FF003F2F"/>
      <name val="Arial"/>
      <family val="2"/>
      <charset val="204"/>
    </font>
    <font>
      <sz val="9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1D4B3D"/>
        <bgColor rgb="FF000000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0" fillId="0" borderId="0"/>
    <xf numFmtId="0" fontId="19" fillId="0" borderId="0"/>
  </cellStyleXfs>
  <cellXfs count="85">
    <xf numFmtId="0" fontId="0" fillId="0" borderId="0" xfId="0"/>
    <xf numFmtId="0" fontId="2" fillId="0" borderId="0" xfId="2" applyAlignment="1">
      <alignment horizontal="left"/>
    </xf>
    <xf numFmtId="0" fontId="2" fillId="0" borderId="0" xfId="2"/>
    <xf numFmtId="0" fontId="4" fillId="0" borderId="0" xfId="2" applyFont="1" applyAlignment="1">
      <alignment horizontal="left"/>
    </xf>
    <xf numFmtId="0" fontId="2" fillId="0" borderId="0" xfId="2" applyAlignment="1">
      <alignment horizontal="left" wrapText="1"/>
    </xf>
    <xf numFmtId="0" fontId="5" fillId="0" borderId="0" xfId="2" applyFont="1" applyAlignment="1">
      <alignment horizontal="left" vertical="top" wrapText="1"/>
    </xf>
    <xf numFmtId="0" fontId="6" fillId="2" borderId="1" xfId="2" applyFont="1" applyFill="1" applyBorder="1" applyAlignment="1">
      <alignment horizontal="left" vertical="top" wrapText="1"/>
    </xf>
    <xf numFmtId="0" fontId="6" fillId="3" borderId="4" xfId="2" applyFont="1" applyFill="1" applyBorder="1" applyAlignment="1">
      <alignment horizontal="left" vertical="top" wrapText="1"/>
    </xf>
    <xf numFmtId="4" fontId="6" fillId="3" borderId="4" xfId="2" applyNumberFormat="1" applyFont="1" applyFill="1" applyBorder="1" applyAlignment="1">
      <alignment horizontal="right" vertical="top"/>
    </xf>
    <xf numFmtId="0" fontId="7" fillId="4" borderId="4" xfId="2" applyFont="1" applyFill="1" applyBorder="1" applyAlignment="1">
      <alignment horizontal="left" vertical="top" wrapText="1" indent="2"/>
    </xf>
    <xf numFmtId="4" fontId="7" fillId="4" borderId="4" xfId="2" applyNumberFormat="1" applyFont="1" applyFill="1" applyBorder="1" applyAlignment="1">
      <alignment horizontal="right" vertical="top"/>
    </xf>
    <xf numFmtId="0" fontId="7" fillId="4" borderId="4" xfId="2" applyFont="1" applyFill="1" applyBorder="1" applyAlignment="1">
      <alignment horizontal="right" vertical="top"/>
    </xf>
    <xf numFmtId="0" fontId="7" fillId="4" borderId="4" xfId="2" applyFont="1" applyFill="1" applyBorder="1" applyAlignment="1">
      <alignment horizontal="left" vertical="top" wrapText="1" indent="4"/>
    </xf>
    <xf numFmtId="0" fontId="8" fillId="0" borderId="4" xfId="2" applyFont="1" applyBorder="1" applyAlignment="1">
      <alignment horizontal="left" vertical="top" wrapText="1" indent="6"/>
    </xf>
    <xf numFmtId="4" fontId="8" fillId="0" borderId="4" xfId="2" applyNumberFormat="1" applyFont="1" applyBorder="1" applyAlignment="1">
      <alignment horizontal="right" vertical="top"/>
    </xf>
    <xf numFmtId="0" fontId="8" fillId="0" borderId="4" xfId="2" applyFont="1" applyBorder="1" applyAlignment="1">
      <alignment horizontal="right" vertical="top"/>
    </xf>
    <xf numFmtId="2" fontId="8" fillId="0" borderId="4" xfId="2" applyNumberFormat="1" applyFont="1" applyBorder="1" applyAlignment="1">
      <alignment horizontal="right" vertical="top"/>
    </xf>
    <xf numFmtId="2" fontId="7" fillId="4" borderId="4" xfId="2" applyNumberFormat="1" applyFont="1" applyFill="1" applyBorder="1" applyAlignment="1">
      <alignment horizontal="right" vertical="top"/>
    </xf>
    <xf numFmtId="0" fontId="9" fillId="2" borderId="1" xfId="2" applyFont="1" applyFill="1" applyBorder="1" applyAlignment="1">
      <alignment horizontal="left" vertical="top"/>
    </xf>
    <xf numFmtId="4" fontId="9" fillId="2" borderId="1" xfId="2" applyNumberFormat="1" applyFont="1" applyFill="1" applyBorder="1" applyAlignment="1">
      <alignment horizontal="right" vertical="top"/>
    </xf>
    <xf numFmtId="164" fontId="0" fillId="0" borderId="0" xfId="1" applyNumberFormat="1" applyFont="1"/>
    <xf numFmtId="0" fontId="3" fillId="0" borderId="0" xfId="2" applyFont="1" applyAlignment="1">
      <alignment horizontal="left" wrapText="1"/>
    </xf>
    <xf numFmtId="164" fontId="2" fillId="0" borderId="0" xfId="2" applyNumberFormat="1"/>
    <xf numFmtId="0" fontId="10" fillId="0" borderId="0" xfId="2" applyFont="1"/>
    <xf numFmtId="0" fontId="11" fillId="6" borderId="5" xfId="0" applyFont="1" applyFill="1" applyBorder="1"/>
    <xf numFmtId="0" fontId="11" fillId="6" borderId="6" xfId="0" applyFont="1" applyFill="1" applyBorder="1"/>
    <xf numFmtId="0" fontId="6" fillId="2" borderId="0" xfId="2" applyFont="1" applyFill="1" applyBorder="1" applyAlignment="1">
      <alignment horizontal="left" vertical="top" wrapText="1"/>
    </xf>
    <xf numFmtId="0" fontId="7" fillId="4" borderId="0" xfId="2" applyFont="1" applyFill="1" applyBorder="1" applyAlignment="1">
      <alignment horizontal="left" vertical="top" wrapText="1" indent="2"/>
    </xf>
    <xf numFmtId="0" fontId="8" fillId="0" borderId="0" xfId="2" applyFont="1" applyBorder="1" applyAlignment="1">
      <alignment horizontal="left" vertical="top" wrapText="1" indent="6"/>
    </xf>
    <xf numFmtId="0" fontId="13" fillId="0" borderId="7" xfId="0" applyFont="1" applyBorder="1" applyAlignment="1">
      <alignment horizontal="center" vertical="center"/>
    </xf>
    <xf numFmtId="0" fontId="14" fillId="7" borderId="8" xfId="3" applyFont="1" applyFill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65" fontId="15" fillId="0" borderId="0" xfId="1" applyNumberFormat="1" applyFont="1" applyBorder="1" applyAlignment="1">
      <alignment horizontal="right" vertical="center"/>
    </xf>
    <xf numFmtId="0" fontId="16" fillId="0" borderId="7" xfId="0" applyFont="1" applyBorder="1" applyAlignment="1">
      <alignment vertical="center"/>
    </xf>
    <xf numFmtId="164" fontId="12" fillId="0" borderId="8" xfId="0" applyNumberFormat="1" applyFont="1" applyBorder="1"/>
    <xf numFmtId="165" fontId="16" fillId="0" borderId="7" xfId="1" applyNumberFormat="1" applyFont="1" applyBorder="1" applyAlignment="1">
      <alignment horizontal="right" vertical="center"/>
    </xf>
    <xf numFmtId="0" fontId="16" fillId="0" borderId="0" xfId="0" quotePrefix="1" applyFont="1" applyAlignment="1">
      <alignment vertical="center"/>
    </xf>
    <xf numFmtId="0" fontId="6" fillId="2" borderId="2" xfId="2" applyFont="1" applyFill="1" applyBorder="1" applyAlignment="1">
      <alignment horizontal="left" vertical="top" wrapText="1"/>
    </xf>
    <xf numFmtId="0" fontId="6" fillId="2" borderId="3" xfId="2" applyFont="1" applyFill="1" applyBorder="1" applyAlignment="1">
      <alignment horizontal="left" vertical="top" wrapText="1"/>
    </xf>
    <xf numFmtId="0" fontId="3" fillId="0" borderId="0" xfId="2" applyFont="1" applyAlignment="1">
      <alignment horizontal="left" wrapText="1"/>
    </xf>
    <xf numFmtId="0" fontId="5" fillId="0" borderId="0" xfId="2" applyFont="1" applyAlignment="1">
      <alignment horizontal="left" vertical="top" wrapText="1"/>
    </xf>
    <xf numFmtId="0" fontId="5" fillId="0" borderId="0" xfId="2" applyFont="1" applyAlignment="1">
      <alignment horizontal="center" vertical="top" wrapText="1"/>
    </xf>
    <xf numFmtId="0" fontId="2" fillId="0" borderId="0" xfId="2" applyAlignment="1">
      <alignment horizontal="center" wrapText="1"/>
    </xf>
    <xf numFmtId="0" fontId="6" fillId="2" borderId="1" xfId="2" applyFont="1" applyFill="1" applyBorder="1" applyAlignment="1">
      <alignment horizontal="left" vertical="top" wrapText="1"/>
    </xf>
    <xf numFmtId="0" fontId="3" fillId="0" borderId="0" xfId="4" applyFont="1" applyAlignment="1">
      <alignment horizontal="left" wrapText="1"/>
    </xf>
    <xf numFmtId="0" fontId="19" fillId="0" borderId="0" xfId="4"/>
    <xf numFmtId="0" fontId="4" fillId="0" borderId="0" xfId="4" applyFont="1" applyAlignment="1">
      <alignment horizontal="left"/>
    </xf>
    <xf numFmtId="0" fontId="19" fillId="0" borderId="0" xfId="4" applyAlignment="1">
      <alignment horizontal="left" wrapText="1"/>
    </xf>
    <xf numFmtId="0" fontId="19" fillId="0" borderId="0" xfId="4" applyAlignment="1">
      <alignment horizontal="left"/>
    </xf>
    <xf numFmtId="0" fontId="2" fillId="0" borderId="0" xfId="4" applyFont="1" applyAlignment="1">
      <alignment horizontal="left" vertical="top" wrapText="1"/>
    </xf>
    <xf numFmtId="0" fontId="2" fillId="0" borderId="0" xfId="4" applyFont="1" applyAlignment="1">
      <alignment horizontal="center" vertical="top" wrapText="1"/>
    </xf>
    <xf numFmtId="0" fontId="19" fillId="0" borderId="0" xfId="4" applyAlignment="1">
      <alignment horizontal="center" wrapText="1"/>
    </xf>
    <xf numFmtId="0" fontId="2" fillId="0" borderId="0" xfId="4" applyFont="1" applyAlignment="1">
      <alignment horizontal="left" vertical="top" wrapText="1"/>
    </xf>
    <xf numFmtId="0" fontId="20" fillId="2" borderId="1" xfId="4" applyFont="1" applyFill="1" applyBorder="1" applyAlignment="1">
      <alignment horizontal="left" vertical="top" wrapText="1"/>
    </xf>
    <xf numFmtId="0" fontId="21" fillId="2" borderId="1" xfId="4" applyFont="1" applyFill="1" applyBorder="1" applyAlignment="1">
      <alignment horizontal="center" vertical="top"/>
    </xf>
    <xf numFmtId="0" fontId="21" fillId="2" borderId="2" xfId="4" applyFont="1" applyFill="1" applyBorder="1" applyAlignment="1">
      <alignment horizontal="center" vertical="top"/>
    </xf>
    <xf numFmtId="0" fontId="21" fillId="2" borderId="3" xfId="4" applyFont="1" applyFill="1" applyBorder="1" applyAlignment="1">
      <alignment horizontal="center" vertical="top"/>
    </xf>
    <xf numFmtId="0" fontId="20" fillId="3" borderId="4" xfId="4" applyFont="1" applyFill="1" applyBorder="1" applyAlignment="1">
      <alignment horizontal="left" vertical="top" wrapText="1"/>
    </xf>
    <xf numFmtId="4" fontId="20" fillId="3" borderId="4" xfId="4" applyNumberFormat="1" applyFont="1" applyFill="1" applyBorder="1" applyAlignment="1">
      <alignment horizontal="right" vertical="top" wrapText="1"/>
    </xf>
    <xf numFmtId="0" fontId="20" fillId="3" borderId="4" xfId="4" applyFont="1" applyFill="1" applyBorder="1" applyAlignment="1">
      <alignment horizontal="right" vertical="top" wrapText="1"/>
    </xf>
    <xf numFmtId="0" fontId="20" fillId="3" borderId="4" xfId="4" applyFont="1" applyFill="1" applyBorder="1" applyAlignment="1">
      <alignment horizontal="left" vertical="top" wrapText="1" indent="1"/>
    </xf>
    <xf numFmtId="0" fontId="21" fillId="4" borderId="4" xfId="4" applyFont="1" applyFill="1" applyBorder="1" applyAlignment="1">
      <alignment horizontal="left" vertical="top" wrapText="1" indent="2"/>
    </xf>
    <xf numFmtId="0" fontId="21" fillId="4" borderId="4" xfId="4" applyFont="1" applyFill="1" applyBorder="1" applyAlignment="1">
      <alignment horizontal="right" vertical="top" wrapText="1"/>
    </xf>
    <xf numFmtId="4" fontId="21" fillId="4" borderId="4" xfId="4" applyNumberFormat="1" applyFont="1" applyFill="1" applyBorder="1" applyAlignment="1">
      <alignment horizontal="right" vertical="top" wrapText="1"/>
    </xf>
    <xf numFmtId="0" fontId="22" fillId="4" borderId="4" xfId="4" applyFont="1" applyFill="1" applyBorder="1" applyAlignment="1">
      <alignment horizontal="left" vertical="top" wrapText="1" indent="3"/>
    </xf>
    <xf numFmtId="0" fontId="22" fillId="4" borderId="4" xfId="4" applyFont="1" applyFill="1" applyBorder="1" applyAlignment="1">
      <alignment horizontal="right" vertical="top" wrapText="1"/>
    </xf>
    <xf numFmtId="4" fontId="22" fillId="4" borderId="4" xfId="4" applyNumberFormat="1" applyFont="1" applyFill="1" applyBorder="1" applyAlignment="1">
      <alignment horizontal="right" vertical="top" wrapText="1"/>
    </xf>
    <xf numFmtId="0" fontId="22" fillId="0" borderId="4" xfId="4" applyFont="1" applyBorder="1" applyAlignment="1">
      <alignment horizontal="left" vertical="top" wrapText="1" indent="4"/>
    </xf>
    <xf numFmtId="0" fontId="22" fillId="0" borderId="4" xfId="4" applyFont="1" applyBorder="1" applyAlignment="1">
      <alignment horizontal="right" vertical="top" wrapText="1"/>
    </xf>
    <xf numFmtId="4" fontId="22" fillId="0" borderId="4" xfId="4" applyNumberFormat="1" applyFont="1" applyBorder="1" applyAlignment="1">
      <alignment horizontal="right" vertical="top" wrapText="1"/>
    </xf>
    <xf numFmtId="0" fontId="20" fillId="3" borderId="4" xfId="4" applyFont="1" applyFill="1" applyBorder="1" applyAlignment="1">
      <alignment horizontal="left" vertical="top" wrapText="1" indent="2"/>
    </xf>
    <xf numFmtId="0" fontId="23" fillId="2" borderId="1" xfId="4" applyFont="1" applyFill="1" applyBorder="1" applyAlignment="1">
      <alignment horizontal="left" vertical="top"/>
    </xf>
    <xf numFmtId="4" fontId="23" fillId="2" borderId="1" xfId="4" applyNumberFormat="1" applyFont="1" applyFill="1" applyBorder="1" applyAlignment="1">
      <alignment horizontal="right" vertical="top" wrapText="1"/>
    </xf>
    <xf numFmtId="0" fontId="23" fillId="2" borderId="1" xfId="4" applyFont="1" applyFill="1" applyBorder="1" applyAlignment="1">
      <alignment horizontal="right" vertical="top" wrapText="1"/>
    </xf>
    <xf numFmtId="0" fontId="3" fillId="0" borderId="0" xfId="4" applyFont="1" applyAlignment="1">
      <alignment wrapText="1"/>
    </xf>
    <xf numFmtId="0" fontId="2" fillId="0" borderId="0" xfId="4" applyFont="1" applyAlignment="1">
      <alignment vertical="top" wrapText="1"/>
    </xf>
    <xf numFmtId="0" fontId="19" fillId="0" borderId="0" xfId="4" applyAlignment="1">
      <alignment wrapText="1"/>
    </xf>
    <xf numFmtId="0" fontId="21" fillId="2" borderId="1" xfId="4" applyFont="1" applyFill="1" applyBorder="1" applyAlignment="1">
      <alignment vertical="top"/>
    </xf>
    <xf numFmtId="0" fontId="20" fillId="2" borderId="2" xfId="4" applyFont="1" applyFill="1" applyBorder="1" applyAlignment="1">
      <alignment horizontal="left" vertical="top" wrapText="1"/>
    </xf>
    <xf numFmtId="0" fontId="21" fillId="2" borderId="2" xfId="4" applyFont="1" applyFill="1" applyBorder="1" applyAlignment="1">
      <alignment vertical="top"/>
    </xf>
    <xf numFmtId="0" fontId="20" fillId="2" borderId="3" xfId="4" applyFont="1" applyFill="1" applyBorder="1" applyAlignment="1">
      <alignment horizontal="left" vertical="top" wrapText="1"/>
    </xf>
    <xf numFmtId="0" fontId="21" fillId="2" borderId="3" xfId="4" applyFont="1" applyFill="1" applyBorder="1" applyAlignment="1">
      <alignment vertical="top"/>
    </xf>
    <xf numFmtId="0" fontId="20" fillId="5" borderId="4" xfId="4" applyFont="1" applyFill="1" applyBorder="1" applyAlignment="1">
      <alignment horizontal="left" vertical="top" wrapText="1" indent="1"/>
    </xf>
    <xf numFmtId="0" fontId="22" fillId="0" borderId="4" xfId="4" applyFont="1" applyBorder="1" applyAlignment="1">
      <alignment horizontal="left" vertical="top" wrapText="1" indent="3"/>
    </xf>
  </cellXfs>
  <cellStyles count="5">
    <cellStyle name="Comma" xfId="1" builtinId="3"/>
    <cellStyle name="Normal" xfId="0" builtinId="0"/>
    <cellStyle name="Normal 2" xfId="2" xr:uid="{1E635966-B1C4-4787-BEE6-7C62E5826669}"/>
    <cellStyle name="Normal 3" xfId="3" xr:uid="{17A09C90-A187-4E3C-9216-7724F6E56906}"/>
    <cellStyle name="Normal 4" xfId="4" xr:uid="{06843B31-3165-4A25-BF5C-822E3F1150B1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A07D-A919-4A98-83F2-675BEB6E8102}">
  <sheetPr codeName="Sheet1">
    <tabColor theme="9" tint="0.59999389629810485"/>
  </sheetPr>
  <dimension ref="B1:M22"/>
  <sheetViews>
    <sheetView showGridLines="0" topLeftCell="A4" zoomScaleNormal="100" workbookViewId="0">
      <selection activeCell="B10" sqref="B10"/>
    </sheetView>
  </sheetViews>
  <sheetFormatPr defaultRowHeight="12.5" x14ac:dyDescent="0.25"/>
  <cols>
    <col min="2" max="2" width="33.26953125" customWidth="1"/>
    <col min="3" max="3" width="16.36328125" hidden="1" customWidth="1"/>
    <col min="4" max="4" width="14.81640625" hidden="1" customWidth="1"/>
    <col min="5" max="8" width="8.26953125" customWidth="1"/>
  </cols>
  <sheetData>
    <row r="1" spans="2:13" x14ac:dyDescent="0.25">
      <c r="B1" s="37" t="s">
        <v>61</v>
      </c>
    </row>
    <row r="2" spans="2:13" x14ac:dyDescent="0.25">
      <c r="B2" s="30" t="s">
        <v>59</v>
      </c>
      <c r="C2" s="30"/>
      <c r="D2" s="30"/>
      <c r="E2" s="30"/>
      <c r="F2" s="30"/>
      <c r="G2" s="30"/>
      <c r="H2" s="30"/>
    </row>
    <row r="3" spans="2:13" x14ac:dyDescent="0.25">
      <c r="B3" s="29"/>
      <c r="C3" s="29" t="s">
        <v>43</v>
      </c>
      <c r="D3" s="29" t="s">
        <v>44</v>
      </c>
      <c r="E3" s="29">
        <v>2022</v>
      </c>
      <c r="F3" s="29">
        <v>2023</v>
      </c>
      <c r="G3" s="29">
        <v>2024</v>
      </c>
      <c r="H3" s="29">
        <v>2025</v>
      </c>
    </row>
    <row r="4" spans="2:13" x14ac:dyDescent="0.25">
      <c r="B4" s="31" t="s">
        <v>28</v>
      </c>
      <c r="C4" s="20">
        <v>270001695.07999998</v>
      </c>
      <c r="D4" s="20">
        <v>49108321.130000003</v>
      </c>
      <c r="E4" s="33">
        <v>231898.42821000001</v>
      </c>
      <c r="F4" s="33">
        <v>220802.97436000002</v>
      </c>
      <c r="G4" s="33">
        <v>194276.85662999999</v>
      </c>
      <c r="H4" s="33">
        <v>290844.96997000003</v>
      </c>
      <c r="J4">
        <f>E4/1000</f>
        <v>231.89842821000002</v>
      </c>
      <c r="K4">
        <f t="shared" ref="K4:M4" si="0">F4/1000</f>
        <v>220.80297436000004</v>
      </c>
      <c r="L4">
        <f t="shared" si="0"/>
        <v>194.27685663</v>
      </c>
      <c r="M4">
        <f t="shared" si="0"/>
        <v>290.84496997000002</v>
      </c>
    </row>
    <row r="5" spans="2:13" x14ac:dyDescent="0.25">
      <c r="B5" s="32" t="s">
        <v>35</v>
      </c>
      <c r="C5" s="20">
        <v>74730000</v>
      </c>
      <c r="D5" s="20">
        <v>0</v>
      </c>
      <c r="E5" s="33">
        <v>74730</v>
      </c>
      <c r="F5" s="33">
        <v>74730</v>
      </c>
      <c r="G5" s="33">
        <v>74730</v>
      </c>
      <c r="H5" s="33">
        <v>74730</v>
      </c>
      <c r="J5">
        <f t="shared" ref="J5:J11" si="1">E5/1000</f>
        <v>74.73</v>
      </c>
      <c r="K5">
        <f t="shared" ref="K5:K11" si="2">F5/1000</f>
        <v>74.73</v>
      </c>
      <c r="L5">
        <f t="shared" ref="L5:L11" si="3">G5/1000</f>
        <v>74.73</v>
      </c>
      <c r="M5">
        <f t="shared" ref="M5:M11" si="4">H5/1000</f>
        <v>74.73</v>
      </c>
    </row>
    <row r="6" spans="2:13" x14ac:dyDescent="0.25">
      <c r="B6" s="32" t="s">
        <v>27</v>
      </c>
      <c r="C6" s="20">
        <v>78995862.730000004</v>
      </c>
      <c r="D6" s="20">
        <v>12128035.51</v>
      </c>
      <c r="E6" s="33">
        <v>74769.975999999995</v>
      </c>
      <c r="F6" s="33">
        <v>75171.539000000004</v>
      </c>
      <c r="G6" s="33">
        <v>66647.550140000007</v>
      </c>
      <c r="H6" s="33">
        <v>57686.531479999998</v>
      </c>
      <c r="J6">
        <f t="shared" si="1"/>
        <v>74.769976</v>
      </c>
      <c r="K6">
        <f t="shared" si="2"/>
        <v>75.17153900000001</v>
      </c>
      <c r="L6">
        <f t="shared" si="3"/>
        <v>66.647550140000007</v>
      </c>
      <c r="M6">
        <f t="shared" si="4"/>
        <v>57.686531479999999</v>
      </c>
    </row>
    <row r="7" spans="2:13" x14ac:dyDescent="0.25">
      <c r="B7" s="32" t="s">
        <v>14</v>
      </c>
      <c r="C7" s="20">
        <v>43225504.710000001</v>
      </c>
      <c r="D7" s="20">
        <v>4922578.43</v>
      </c>
      <c r="E7" s="33">
        <v>39312.818869999996</v>
      </c>
      <c r="F7" s="33">
        <v>37832.026989999998</v>
      </c>
      <c r="G7" s="33">
        <v>35790.486219999999</v>
      </c>
      <c r="H7" s="33">
        <v>37555.848490000004</v>
      </c>
      <c r="J7">
        <f t="shared" si="1"/>
        <v>39.312818869999994</v>
      </c>
      <c r="K7">
        <f t="shared" si="2"/>
        <v>37.832026989999996</v>
      </c>
      <c r="L7">
        <f t="shared" si="3"/>
        <v>35.790486219999998</v>
      </c>
      <c r="M7">
        <f t="shared" si="4"/>
        <v>37.555848490000002</v>
      </c>
    </row>
    <row r="8" spans="2:13" x14ac:dyDescent="0.25">
      <c r="B8" s="32" t="s">
        <v>30</v>
      </c>
      <c r="C8" s="20">
        <v>15874045.84</v>
      </c>
      <c r="D8" s="20">
        <v>7170610.7699999996</v>
      </c>
      <c r="E8" s="33">
        <v>9754.5058599999993</v>
      </c>
      <c r="F8" s="33">
        <v>6012.6981399999995</v>
      </c>
      <c r="G8" s="33">
        <v>16524.025720000001</v>
      </c>
      <c r="H8" s="33">
        <v>12680.501130000001</v>
      </c>
      <c r="J8">
        <f t="shared" si="1"/>
        <v>9.7545058600000001</v>
      </c>
      <c r="K8">
        <f t="shared" si="2"/>
        <v>6.0126981399999995</v>
      </c>
      <c r="L8">
        <f t="shared" si="3"/>
        <v>16.524025720000001</v>
      </c>
      <c r="M8">
        <f t="shared" si="4"/>
        <v>12.68050113</v>
      </c>
    </row>
    <row r="9" spans="2:13" x14ac:dyDescent="0.25">
      <c r="B9" s="32" t="s">
        <v>33</v>
      </c>
      <c r="C9" s="20">
        <v>54297104.659999996</v>
      </c>
      <c r="D9" s="20">
        <v>18761196.199999999</v>
      </c>
      <c r="E9" s="33">
        <v>35950.021460000004</v>
      </c>
      <c r="F9" s="33">
        <v>26660.163</v>
      </c>
      <c r="G9" s="33">
        <v>16367.662789999998</v>
      </c>
      <c r="H9" s="33">
        <v>10018.87976</v>
      </c>
      <c r="J9">
        <f t="shared" si="1"/>
        <v>35.950021460000002</v>
      </c>
      <c r="K9">
        <f t="shared" si="2"/>
        <v>26.660163000000001</v>
      </c>
      <c r="L9">
        <f t="shared" si="3"/>
        <v>16.367662789999997</v>
      </c>
      <c r="M9">
        <f t="shared" si="4"/>
        <v>10.018879759999999</v>
      </c>
    </row>
    <row r="10" spans="2:13" x14ac:dyDescent="0.25">
      <c r="B10" s="32" t="s">
        <v>34</v>
      </c>
      <c r="C10" s="20">
        <v>11099820.210000001</v>
      </c>
      <c r="D10" s="20">
        <v>1960782.83</v>
      </c>
      <c r="E10" s="33">
        <v>9139.0373800000016</v>
      </c>
      <c r="F10" s="33">
        <v>7457.0904600000003</v>
      </c>
      <c r="G10" s="33">
        <v>5803.1215899999997</v>
      </c>
      <c r="H10" s="33">
        <v>4653.7856200000006</v>
      </c>
      <c r="J10">
        <f t="shared" si="1"/>
        <v>9.1390373800000013</v>
      </c>
      <c r="K10">
        <f t="shared" si="2"/>
        <v>7.4570904600000008</v>
      </c>
      <c r="L10">
        <f t="shared" si="3"/>
        <v>5.8031215899999999</v>
      </c>
      <c r="M10">
        <f t="shared" si="4"/>
        <v>4.6537856200000007</v>
      </c>
    </row>
    <row r="11" spans="2:13" x14ac:dyDescent="0.25">
      <c r="B11" s="32" t="s">
        <v>57</v>
      </c>
      <c r="C11" s="20">
        <v>1662422669.05</v>
      </c>
      <c r="D11" s="20">
        <v>318081742.69999999</v>
      </c>
      <c r="E11" s="33">
        <v>929797.53624000004</v>
      </c>
      <c r="F11" s="33">
        <v>631953.03373000002</v>
      </c>
      <c r="G11" s="33">
        <v>385885.24323999998</v>
      </c>
      <c r="H11" s="33">
        <v>524888.86402999994</v>
      </c>
      <c r="J11">
        <f t="shared" si="1"/>
        <v>929.79753624</v>
      </c>
      <c r="K11">
        <f t="shared" si="2"/>
        <v>631.95303373000002</v>
      </c>
      <c r="L11">
        <f t="shared" si="3"/>
        <v>385.88524323999997</v>
      </c>
      <c r="M11">
        <f t="shared" si="4"/>
        <v>524.88886402999992</v>
      </c>
    </row>
    <row r="12" spans="2:13" ht="13" x14ac:dyDescent="0.3">
      <c r="B12" s="34" t="s">
        <v>39</v>
      </c>
      <c r="C12" s="35">
        <f>SUM(C4:C11)</f>
        <v>2210646702.2799997</v>
      </c>
      <c r="D12" s="35">
        <f t="shared" ref="D12:H12" si="5">SUM(D4:D11)</f>
        <v>412133267.56999999</v>
      </c>
      <c r="E12" s="36">
        <f t="shared" si="5"/>
        <v>1405352.3240200002</v>
      </c>
      <c r="F12" s="36">
        <f t="shared" si="5"/>
        <v>1080619.52568</v>
      </c>
      <c r="G12" s="36">
        <f t="shared" si="5"/>
        <v>796024.94632999995</v>
      </c>
      <c r="H12" s="36">
        <f t="shared" si="5"/>
        <v>1013059.3804799999</v>
      </c>
    </row>
    <row r="14" spans="2:13" x14ac:dyDescent="0.25">
      <c r="B14" s="37" t="s">
        <v>60</v>
      </c>
    </row>
    <row r="15" spans="2:13" x14ac:dyDescent="0.25">
      <c r="B15" s="30" t="s">
        <v>59</v>
      </c>
      <c r="C15" s="30"/>
      <c r="D15" s="30"/>
      <c r="E15" s="30"/>
      <c r="F15" s="30"/>
      <c r="G15" s="30"/>
      <c r="H15" s="30"/>
    </row>
    <row r="16" spans="2:13" x14ac:dyDescent="0.25">
      <c r="B16" s="29"/>
      <c r="C16" s="29" t="s">
        <v>43</v>
      </c>
      <c r="D16" s="29" t="s">
        <v>44</v>
      </c>
      <c r="E16" s="29">
        <v>2022</v>
      </c>
      <c r="F16" s="29">
        <v>2023</v>
      </c>
      <c r="G16" s="29">
        <v>2024</v>
      </c>
      <c r="H16" s="29">
        <v>2025</v>
      </c>
    </row>
    <row r="17" spans="2:13" x14ac:dyDescent="0.25">
      <c r="B17" s="31" t="s">
        <v>35</v>
      </c>
      <c r="C17" s="20">
        <v>223870288.69</v>
      </c>
      <c r="D17" s="20">
        <v>0</v>
      </c>
      <c r="E17" s="33">
        <v>223870.28868999999</v>
      </c>
      <c r="F17" s="33">
        <v>223870.28868999999</v>
      </c>
      <c r="G17" s="33">
        <v>227496.10665999999</v>
      </c>
      <c r="H17" s="33">
        <v>227496.10665999999</v>
      </c>
      <c r="J17">
        <f>E17/1000</f>
        <v>223.87028869</v>
      </c>
      <c r="K17">
        <f t="shared" ref="K17:K22" si="6">F17/1000</f>
        <v>223.87028869</v>
      </c>
      <c r="L17">
        <f t="shared" ref="L17:L22" si="7">G17/1000</f>
        <v>227.49610665999998</v>
      </c>
      <c r="M17">
        <f t="shared" ref="M17:M22" si="8">H17/1000</f>
        <v>227.49610665999998</v>
      </c>
    </row>
    <row r="18" spans="2:13" x14ac:dyDescent="0.25">
      <c r="B18" s="32" t="s">
        <v>14</v>
      </c>
      <c r="C18" s="20">
        <v>186493998.84</v>
      </c>
      <c r="D18" s="20">
        <v>10642354.869999999</v>
      </c>
      <c r="E18" s="33">
        <v>175851.64397</v>
      </c>
      <c r="F18" s="33">
        <v>166595.20988000001</v>
      </c>
      <c r="G18" s="33">
        <v>170027.92802000002</v>
      </c>
      <c r="H18" s="33">
        <v>160316.51615000001</v>
      </c>
      <c r="J18">
        <f t="shared" ref="J18:J22" si="9">E18/1000</f>
        <v>175.85164397</v>
      </c>
      <c r="K18">
        <f t="shared" si="6"/>
        <v>166.59520988</v>
      </c>
      <c r="L18">
        <f t="shared" si="7"/>
        <v>170.02792802000002</v>
      </c>
      <c r="M18">
        <f t="shared" si="8"/>
        <v>160.31651615000001</v>
      </c>
    </row>
    <row r="19" spans="2:13" x14ac:dyDescent="0.25">
      <c r="B19" s="32" t="s">
        <v>27</v>
      </c>
      <c r="C19" s="20">
        <v>82254363.730000004</v>
      </c>
      <c r="D19" s="20">
        <v>10972568.25</v>
      </c>
      <c r="E19" s="33">
        <v>71281.795480000001</v>
      </c>
      <c r="F19" s="33">
        <v>75710.030209999997</v>
      </c>
      <c r="G19" s="33">
        <v>77125.507709999991</v>
      </c>
      <c r="H19" s="33">
        <v>75969.77601999999</v>
      </c>
      <c r="J19">
        <f t="shared" si="9"/>
        <v>71.28179548</v>
      </c>
      <c r="K19">
        <f t="shared" si="6"/>
        <v>75.710030209999999</v>
      </c>
      <c r="L19">
        <f t="shared" si="7"/>
        <v>77.125507709999994</v>
      </c>
      <c r="M19">
        <f t="shared" si="8"/>
        <v>75.969776019999983</v>
      </c>
    </row>
    <row r="20" spans="2:13" x14ac:dyDescent="0.25">
      <c r="B20" s="32" t="s">
        <v>28</v>
      </c>
      <c r="C20" s="20">
        <v>31827478.390000001</v>
      </c>
      <c r="D20" s="20">
        <v>4752419.82</v>
      </c>
      <c r="E20" s="33">
        <v>27094.489440000001</v>
      </c>
      <c r="F20" s="33">
        <v>22810.843069999999</v>
      </c>
      <c r="G20" s="33">
        <v>19019.014600000002</v>
      </c>
      <c r="H20" s="33">
        <v>16769.298439999999</v>
      </c>
      <c r="J20">
        <f t="shared" si="9"/>
        <v>27.09448944</v>
      </c>
      <c r="K20">
        <f t="shared" si="6"/>
        <v>22.810843070000001</v>
      </c>
      <c r="L20">
        <f t="shared" si="7"/>
        <v>19.019014600000002</v>
      </c>
      <c r="M20">
        <f t="shared" si="8"/>
        <v>16.76929844</v>
      </c>
    </row>
    <row r="21" spans="2:13" x14ac:dyDescent="0.25">
      <c r="B21" s="32" t="s">
        <v>57</v>
      </c>
      <c r="C21" s="20">
        <v>20911050.289999999</v>
      </c>
      <c r="D21" s="20">
        <v>3266701.09</v>
      </c>
      <c r="E21" s="33">
        <v>12464.945659999999</v>
      </c>
      <c r="F21" s="33">
        <v>9348.7093100000002</v>
      </c>
      <c r="G21" s="33">
        <v>9196.1064800000004</v>
      </c>
      <c r="H21" s="33">
        <v>5522.6743200000001</v>
      </c>
      <c r="J21">
        <f t="shared" si="9"/>
        <v>12.46494566</v>
      </c>
      <c r="K21">
        <f t="shared" si="6"/>
        <v>9.3487093100000003</v>
      </c>
      <c r="L21">
        <f t="shared" si="7"/>
        <v>9.196106480000001</v>
      </c>
      <c r="M21">
        <f t="shared" si="8"/>
        <v>5.5226743200000001</v>
      </c>
    </row>
    <row r="22" spans="2:13" ht="13" x14ac:dyDescent="0.3">
      <c r="B22" s="34" t="s">
        <v>39</v>
      </c>
      <c r="C22" s="35">
        <f>SUM(C17:C21)</f>
        <v>545357179.93999994</v>
      </c>
      <c r="D22" s="35">
        <f t="shared" ref="D22" si="10">SUM(D17:D21)</f>
        <v>29634044.029999997</v>
      </c>
      <c r="E22" s="36">
        <v>510563.16324000002</v>
      </c>
      <c r="F22" s="36">
        <v>498335.08115999994</v>
      </c>
      <c r="G22" s="36">
        <v>502864.66347000003</v>
      </c>
      <c r="H22" s="36">
        <v>486074.37159</v>
      </c>
      <c r="J22">
        <f t="shared" si="9"/>
        <v>510.56316324000005</v>
      </c>
      <c r="K22">
        <f t="shared" si="6"/>
        <v>498.33508115999996</v>
      </c>
      <c r="L22">
        <f t="shared" si="7"/>
        <v>502.86466347000004</v>
      </c>
      <c r="M22">
        <f t="shared" si="8"/>
        <v>486.07437159</v>
      </c>
    </row>
  </sheetData>
  <pageMargins left="0.7" right="0.7" top="0.75" bottom="0.75" header="0.3" footer="0.3"/>
  <ignoredErrors>
    <ignoredError sqref="E12:H12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1092-95DF-4253-AFB0-1D17309C2776}">
  <sheetPr codeName="Sheet5">
    <tabColor theme="9" tint="0.59999389629810485"/>
    <outlinePr summaryBelow="0" summaryRight="0"/>
    <pageSetUpPr autoPageBreaks="0" fitToPage="1"/>
  </sheetPr>
  <dimension ref="A1:O13"/>
  <sheetViews>
    <sheetView zoomScale="85" zoomScaleNormal="85" workbookViewId="0">
      <selection activeCell="C14" sqref="C14"/>
    </sheetView>
  </sheetViews>
  <sheetFormatPr defaultColWidth="8.54296875" defaultRowHeight="11.4" customHeight="1" outlineLevelRow="3" outlineLevelCol="1" x14ac:dyDescent="0.2"/>
  <cols>
    <col min="1" max="1" width="8.54296875" style="2"/>
    <col min="2" max="3" width="28.6328125" style="1" customWidth="1"/>
    <col min="4" max="4" width="11.6328125" style="2" customWidth="1" outlineLevel="1"/>
    <col min="5" max="5" width="11.81640625" style="2" customWidth="1" outlineLevel="1"/>
    <col min="6" max="7" width="10.36328125" style="2" customWidth="1" outlineLevel="1"/>
    <col min="8" max="8" width="11.81640625" style="2" customWidth="1" outlineLevel="1"/>
    <col min="9" max="10" width="10.36328125" style="2" customWidth="1" outlineLevel="1"/>
    <col min="11" max="11" width="11.81640625" style="2" customWidth="1" outlineLevel="1"/>
    <col min="12" max="12" width="10.36328125" style="2" customWidth="1" outlineLevel="1"/>
    <col min="13" max="13" width="10.36328125" style="2" bestFit="1" customWidth="1"/>
    <col min="14" max="14" width="11.81640625" style="2" bestFit="1" customWidth="1"/>
    <col min="15" max="15" width="10.36328125" style="2" bestFit="1" customWidth="1"/>
    <col min="16" max="16384" width="8.54296875" style="2"/>
  </cols>
  <sheetData>
    <row r="1" spans="1:15" ht="13" customHeight="1" x14ac:dyDescent="0.3">
      <c r="B1" s="21" t="s">
        <v>61</v>
      </c>
      <c r="C1" s="21"/>
    </row>
    <row r="2" spans="1:15" ht="16" customHeight="1" x14ac:dyDescent="0.35">
      <c r="B2" s="3" t="s">
        <v>42</v>
      </c>
      <c r="C2" s="3"/>
    </row>
    <row r="3" spans="1:15" s="1" customFormat="1" ht="2" customHeight="1" x14ac:dyDescent="0.2"/>
    <row r="4" spans="1:15" ht="11" customHeight="1" x14ac:dyDescent="0.2">
      <c r="B4" s="5" t="s">
        <v>0</v>
      </c>
      <c r="C4" s="5"/>
    </row>
    <row r="5" spans="1:15" s="1" customFormat="1" ht="2" customHeight="1" x14ac:dyDescent="0.2">
      <c r="B5" s="5"/>
      <c r="C5" s="5"/>
    </row>
    <row r="6" spans="1:15" ht="13" customHeight="1" x14ac:dyDescent="0.2">
      <c r="B6" s="6"/>
      <c r="C6" s="26"/>
    </row>
    <row r="7" spans="1:15" ht="13" customHeight="1" x14ac:dyDescent="0.25">
      <c r="B7" s="6" t="s">
        <v>5</v>
      </c>
      <c r="C7" s="26"/>
      <c r="D7">
        <v>2022</v>
      </c>
      <c r="E7">
        <v>2022</v>
      </c>
      <c r="F7">
        <v>2022</v>
      </c>
      <c r="G7">
        <v>2023</v>
      </c>
      <c r="H7">
        <v>2023</v>
      </c>
      <c r="I7">
        <v>2023</v>
      </c>
      <c r="J7">
        <v>2024</v>
      </c>
      <c r="K7">
        <v>2024</v>
      </c>
      <c r="L7">
        <v>2024</v>
      </c>
      <c r="M7">
        <v>2025</v>
      </c>
      <c r="N7">
        <v>2025</v>
      </c>
      <c r="O7">
        <v>2025</v>
      </c>
    </row>
    <row r="8" spans="1:15" ht="42.5" customHeight="1" x14ac:dyDescent="0.3">
      <c r="A8" s="23" t="s">
        <v>58</v>
      </c>
      <c r="B8" s="6" t="s">
        <v>13</v>
      </c>
      <c r="C8" s="26" t="s">
        <v>59</v>
      </c>
      <c r="D8" s="24" t="s">
        <v>45</v>
      </c>
      <c r="E8" s="24" t="s">
        <v>46</v>
      </c>
      <c r="F8" s="24" t="s">
        <v>47</v>
      </c>
      <c r="G8" s="24" t="s">
        <v>48</v>
      </c>
      <c r="H8" s="24" t="s">
        <v>49</v>
      </c>
      <c r="I8" s="24" t="s">
        <v>50</v>
      </c>
      <c r="J8" s="24" t="s">
        <v>51</v>
      </c>
      <c r="K8" s="24" t="s">
        <v>52</v>
      </c>
      <c r="L8" s="24" t="s">
        <v>53</v>
      </c>
      <c r="M8" s="24" t="s">
        <v>54</v>
      </c>
      <c r="N8" s="24" t="s">
        <v>55</v>
      </c>
      <c r="O8" s="25" t="s">
        <v>56</v>
      </c>
    </row>
    <row r="9" spans="1:15" ht="63" customHeight="1" outlineLevel="3" x14ac:dyDescent="0.2">
      <c r="A9" s="2" t="s">
        <v>14</v>
      </c>
      <c r="B9" s="13" t="s">
        <v>16</v>
      </c>
      <c r="C9" s="28" t="s">
        <v>131</v>
      </c>
      <c r="D9" s="22">
        <v>2794988.61</v>
      </c>
      <c r="E9" s="22">
        <v>486084.96</v>
      </c>
      <c r="F9" s="22">
        <v>2308903.65</v>
      </c>
      <c r="G9" s="22">
        <v>2308903.65</v>
      </c>
      <c r="H9" s="22">
        <v>486084.96</v>
      </c>
      <c r="I9" s="22">
        <v>1822818.69</v>
      </c>
      <c r="J9" s="22">
        <v>1822818.69</v>
      </c>
      <c r="K9" s="22">
        <v>486084.96</v>
      </c>
      <c r="L9" s="22">
        <v>1336733.73</v>
      </c>
      <c r="M9" s="22">
        <v>1336733.73</v>
      </c>
      <c r="N9" s="22">
        <v>364563.72</v>
      </c>
      <c r="O9" s="22">
        <v>972170.01</v>
      </c>
    </row>
    <row r="10" spans="1:15" ht="63" customHeight="1" outlineLevel="3" x14ac:dyDescent="0.2">
      <c r="A10" s="2" t="s">
        <v>14</v>
      </c>
      <c r="B10" s="13" t="s">
        <v>16</v>
      </c>
      <c r="C10" s="28" t="s">
        <v>62</v>
      </c>
      <c r="D10" s="22">
        <v>4656357.6900000004</v>
      </c>
      <c r="E10" s="22">
        <v>809801.33</v>
      </c>
      <c r="F10" s="22">
        <v>3846556.36</v>
      </c>
      <c r="G10" s="22">
        <v>3846556.36</v>
      </c>
      <c r="H10" s="22">
        <v>809801.34</v>
      </c>
      <c r="I10" s="22">
        <v>3036755.02</v>
      </c>
      <c r="J10" s="22">
        <v>3036755.02</v>
      </c>
      <c r="K10" s="22">
        <v>809801.34</v>
      </c>
      <c r="L10" s="22">
        <v>2226953.6800000002</v>
      </c>
      <c r="M10" s="22">
        <v>2226953.6800000002</v>
      </c>
      <c r="N10" s="22">
        <v>607351</v>
      </c>
      <c r="O10" s="22">
        <v>1619602.68</v>
      </c>
    </row>
    <row r="11" spans="1:15" ht="12" customHeight="1" outlineLevel="1" x14ac:dyDescent="0.2">
      <c r="A11" s="2" t="s">
        <v>14</v>
      </c>
      <c r="B11" s="13" t="s">
        <v>16</v>
      </c>
      <c r="C11" s="27"/>
      <c r="D11" s="22">
        <v>100342.48</v>
      </c>
      <c r="E11" s="22">
        <v>52352.62</v>
      </c>
      <c r="F11" s="22">
        <v>47989.86</v>
      </c>
      <c r="G11" s="22">
        <v>47989.86</v>
      </c>
      <c r="H11" s="22">
        <v>23035.119999999999</v>
      </c>
      <c r="I11" s="22">
        <v>24954.74</v>
      </c>
      <c r="J11" s="22">
        <v>24954.74</v>
      </c>
      <c r="K11" s="22">
        <v>115507.72</v>
      </c>
      <c r="L11" s="22">
        <v>1009447.02</v>
      </c>
      <c r="M11" s="22">
        <v>1009447.02</v>
      </c>
      <c r="N11" s="22">
        <v>125454.33</v>
      </c>
      <c r="O11" s="22">
        <v>883992.69</v>
      </c>
    </row>
    <row r="12" spans="1:15" ht="37" customHeight="1" outlineLevel="3" x14ac:dyDescent="0.2">
      <c r="A12" s="2" t="s">
        <v>14</v>
      </c>
      <c r="B12" s="13" t="s">
        <v>115</v>
      </c>
      <c r="C12" s="28" t="s">
        <v>132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103529.44</v>
      </c>
      <c r="L12" s="22">
        <v>996470.56</v>
      </c>
      <c r="M12" s="22">
        <v>996470.56</v>
      </c>
      <c r="N12" s="22">
        <v>116470.62</v>
      </c>
      <c r="O12" s="22">
        <v>879999.94</v>
      </c>
    </row>
    <row r="13" spans="1:15" ht="13" customHeight="1" x14ac:dyDescent="0.2"/>
  </sheetData>
  <autoFilter ref="A8:O12" xr:uid="{C6431092-95DF-4253-AFB0-1D17309C2776}">
    <sortState xmlns:xlrd2="http://schemas.microsoft.com/office/spreadsheetml/2017/richdata2" ref="A12:O12">
      <sortCondition sortBy="cellColor" ref="B8:B12" dxfId="0"/>
    </sortState>
  </autoFilter>
  <pageMargins left="0.19685039370078741" right="0.19685039370078741" top="0.39370078740157483" bottom="0.39370078740157483" header="0" footer="0"/>
  <pageSetup paperSize="9" fitToHeight="0" pageOrder="overThenDown" orientation="portrait"/>
  <headerFooter>
    <oddHeader>&amp;L&amp;"Arial,normal"&amp;8&amp;D &amp;T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DBA0-C015-40CC-9258-A20713D51ACE}">
  <sheetPr codeName="Sheet9">
    <tabColor theme="9" tint="0.59999389629810485"/>
    <outlinePr summaryBelow="0" summaryRight="0"/>
    <pageSetUpPr autoPageBreaks="0" fitToPage="1"/>
  </sheetPr>
  <dimension ref="B1:L58"/>
  <sheetViews>
    <sheetView topLeftCell="B8" workbookViewId="0">
      <selection activeCell="D12" sqref="D12"/>
    </sheetView>
  </sheetViews>
  <sheetFormatPr defaultColWidth="8.54296875" defaultRowHeight="11.4" customHeight="1" outlineLevelRow="3" x14ac:dyDescent="0.2"/>
  <cols>
    <col min="1" max="1" width="8.54296875" style="2"/>
    <col min="2" max="2" width="28.6328125" style="1" customWidth="1"/>
    <col min="3" max="12" width="16.1796875" style="1" customWidth="1"/>
    <col min="13" max="16384" width="8.54296875" style="2"/>
  </cols>
  <sheetData>
    <row r="1" spans="2:12" ht="13" customHeight="1" x14ac:dyDescent="0.3">
      <c r="B1" s="40" t="s">
        <v>61</v>
      </c>
      <c r="C1" s="40"/>
      <c r="D1" s="40"/>
      <c r="E1" s="40"/>
      <c r="F1" s="40"/>
      <c r="G1" s="40"/>
      <c r="H1" s="40"/>
    </row>
    <row r="2" spans="2:12" ht="16" customHeight="1" x14ac:dyDescent="0.35">
      <c r="B2" s="3" t="s">
        <v>41</v>
      </c>
      <c r="C2" s="4"/>
      <c r="D2" s="4"/>
      <c r="E2" s="4"/>
      <c r="F2" s="4"/>
    </row>
    <row r="3" spans="2:12" s="1" customFormat="1" ht="2" customHeight="1" x14ac:dyDescent="0.2"/>
    <row r="4" spans="2:12" ht="11" customHeight="1" x14ac:dyDescent="0.2">
      <c r="B4" s="41" t="s">
        <v>0</v>
      </c>
      <c r="C4" s="42"/>
      <c r="D4" s="43"/>
      <c r="E4" s="43"/>
      <c r="F4" s="43"/>
      <c r="G4" s="43"/>
      <c r="H4" s="43"/>
      <c r="I4" s="43"/>
      <c r="J4" s="43"/>
      <c r="K4" s="43"/>
      <c r="L4" s="43"/>
    </row>
    <row r="5" spans="2:12" s="1" customFormat="1" ht="2" customHeight="1" x14ac:dyDescent="0.2">
      <c r="B5" s="5"/>
      <c r="C5" s="5"/>
      <c r="D5" s="4"/>
      <c r="E5" s="4"/>
      <c r="F5" s="4"/>
      <c r="G5" s="4"/>
      <c r="H5" s="4"/>
      <c r="I5" s="4"/>
      <c r="J5" s="4"/>
      <c r="K5" s="4"/>
      <c r="L5" s="4"/>
    </row>
    <row r="6" spans="2:12" ht="13" customHeight="1" x14ac:dyDescent="0.2">
      <c r="B6" s="6" t="s">
        <v>1</v>
      </c>
      <c r="C6" s="44" t="s">
        <v>2</v>
      </c>
      <c r="D6" s="44"/>
      <c r="E6" s="44"/>
      <c r="F6" s="44" t="s">
        <v>3</v>
      </c>
      <c r="G6" s="44"/>
      <c r="H6" s="44"/>
      <c r="I6" s="44"/>
      <c r="J6" s="44" t="s">
        <v>4</v>
      </c>
      <c r="K6" s="44"/>
      <c r="L6" s="44"/>
    </row>
    <row r="7" spans="2:12" ht="13" customHeight="1" x14ac:dyDescent="0.2">
      <c r="B7" s="6" t="s">
        <v>5</v>
      </c>
      <c r="C7" s="38" t="s">
        <v>6</v>
      </c>
      <c r="D7" s="38" t="s">
        <v>7</v>
      </c>
      <c r="E7" s="38" t="s">
        <v>8</v>
      </c>
      <c r="F7" s="38" t="s">
        <v>9</v>
      </c>
      <c r="G7" s="38" t="s">
        <v>10</v>
      </c>
      <c r="H7" s="38" t="s">
        <v>11</v>
      </c>
      <c r="I7" s="38" t="s">
        <v>12</v>
      </c>
      <c r="J7" s="38" t="s">
        <v>6</v>
      </c>
      <c r="K7" s="38" t="s">
        <v>7</v>
      </c>
      <c r="L7" s="38" t="s">
        <v>8</v>
      </c>
    </row>
    <row r="8" spans="2:12" ht="40" customHeight="1" x14ac:dyDescent="0.2">
      <c r="B8" s="6" t="s">
        <v>13</v>
      </c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2:12" ht="13" customHeight="1" x14ac:dyDescent="0.2">
      <c r="B9" s="7" t="s">
        <v>14</v>
      </c>
      <c r="C9" s="8">
        <v>82472729.650000006</v>
      </c>
      <c r="D9" s="8">
        <v>44640702.659999996</v>
      </c>
      <c r="E9" s="8">
        <v>37832026.990000002</v>
      </c>
      <c r="F9" s="8">
        <v>2740827.05</v>
      </c>
      <c r="G9" s="8">
        <v>4746427.38</v>
      </c>
      <c r="H9" s="8">
        <v>418272.9</v>
      </c>
      <c r="I9" s="8">
        <v>382332.46</v>
      </c>
      <c r="J9" s="8">
        <v>84795283.799999997</v>
      </c>
      <c r="K9" s="8">
        <v>49004797.579999998</v>
      </c>
      <c r="L9" s="8">
        <v>35790486.219999999</v>
      </c>
    </row>
    <row r="10" spans="2:12" ht="12" customHeight="1" outlineLevel="1" x14ac:dyDescent="0.2">
      <c r="B10" s="9" t="s">
        <v>15</v>
      </c>
      <c r="C10" s="10">
        <v>12958863.130000001</v>
      </c>
      <c r="D10" s="10">
        <v>8099289.4199999999</v>
      </c>
      <c r="E10" s="10">
        <v>4859573.71</v>
      </c>
      <c r="F10" s="11"/>
      <c r="G10" s="10">
        <v>1295886.3</v>
      </c>
      <c r="H10" s="11"/>
      <c r="I10" s="11"/>
      <c r="J10" s="10">
        <v>12958863.130000001</v>
      </c>
      <c r="K10" s="10">
        <v>9395175.7200000007</v>
      </c>
      <c r="L10" s="10">
        <v>3563687.41</v>
      </c>
    </row>
    <row r="11" spans="2:12" ht="12" customHeight="1" outlineLevel="2" x14ac:dyDescent="0.2">
      <c r="B11" s="12" t="s">
        <v>16</v>
      </c>
      <c r="C11" s="10">
        <v>12958863.130000001</v>
      </c>
      <c r="D11" s="10">
        <v>8099289.4199999999</v>
      </c>
      <c r="E11" s="10">
        <v>4859573.71</v>
      </c>
      <c r="F11" s="11"/>
      <c r="G11" s="10">
        <v>1295886.3</v>
      </c>
      <c r="H11" s="11"/>
      <c r="I11" s="11"/>
      <c r="J11" s="10">
        <v>12958863.130000001</v>
      </c>
      <c r="K11" s="10">
        <v>9395175.7200000007</v>
      </c>
      <c r="L11" s="10">
        <v>3563687.41</v>
      </c>
    </row>
    <row r="12" spans="2:12" ht="63" customHeight="1" outlineLevel="3" x14ac:dyDescent="0.2">
      <c r="B12" s="13" t="s">
        <v>62</v>
      </c>
      <c r="C12" s="14">
        <v>8098013.3700000001</v>
      </c>
      <c r="D12" s="14">
        <v>5061258.3499999996</v>
      </c>
      <c r="E12" s="14">
        <v>3036755.02</v>
      </c>
      <c r="F12" s="15"/>
      <c r="G12" s="14">
        <v>809801.34</v>
      </c>
      <c r="H12" s="15"/>
      <c r="I12" s="15"/>
      <c r="J12" s="14">
        <v>8098013.3700000001</v>
      </c>
      <c r="K12" s="14">
        <v>5871059.6900000004</v>
      </c>
      <c r="L12" s="14">
        <v>2226953.6800000002</v>
      </c>
    </row>
    <row r="13" spans="2:12" ht="63" customHeight="1" outlineLevel="3" x14ac:dyDescent="0.2">
      <c r="B13" s="13" t="s">
        <v>131</v>
      </c>
      <c r="C13" s="14">
        <v>4860849.76</v>
      </c>
      <c r="D13" s="14">
        <v>3038031.07</v>
      </c>
      <c r="E13" s="14">
        <v>1822818.69</v>
      </c>
      <c r="F13" s="15"/>
      <c r="G13" s="14">
        <v>486084.96</v>
      </c>
      <c r="H13" s="15"/>
      <c r="I13" s="15"/>
      <c r="J13" s="14">
        <v>4860849.76</v>
      </c>
      <c r="K13" s="14">
        <v>3524116.03</v>
      </c>
      <c r="L13" s="14">
        <v>1336733.73</v>
      </c>
    </row>
    <row r="14" spans="2:12" ht="12" customHeight="1" outlineLevel="1" x14ac:dyDescent="0.2">
      <c r="B14" s="9" t="s">
        <v>17</v>
      </c>
      <c r="C14" s="10">
        <v>266125.71000000002</v>
      </c>
      <c r="D14" s="10">
        <v>241170.97</v>
      </c>
      <c r="E14" s="10">
        <v>24954.74</v>
      </c>
      <c r="F14" s="10">
        <v>1100000</v>
      </c>
      <c r="G14" s="10">
        <v>115507.72</v>
      </c>
      <c r="H14" s="11"/>
      <c r="I14" s="11"/>
      <c r="J14" s="10">
        <v>1366125.71</v>
      </c>
      <c r="K14" s="10">
        <v>356678.69</v>
      </c>
      <c r="L14" s="10">
        <v>1009447.02</v>
      </c>
    </row>
    <row r="15" spans="2:12" ht="12" customHeight="1" outlineLevel="2" x14ac:dyDescent="0.2">
      <c r="B15" s="12" t="s">
        <v>65</v>
      </c>
      <c r="C15" s="10">
        <v>266125.71000000002</v>
      </c>
      <c r="D15" s="10">
        <v>241170.97</v>
      </c>
      <c r="E15" s="10">
        <v>24954.74</v>
      </c>
      <c r="F15" s="10">
        <v>1100000</v>
      </c>
      <c r="G15" s="10">
        <v>115507.72</v>
      </c>
      <c r="H15" s="11"/>
      <c r="I15" s="11"/>
      <c r="J15" s="10">
        <v>1366125.71</v>
      </c>
      <c r="K15" s="10">
        <v>356678.69</v>
      </c>
      <c r="L15" s="10">
        <v>1009447.02</v>
      </c>
    </row>
    <row r="16" spans="2:12" ht="37" customHeight="1" outlineLevel="3" x14ac:dyDescent="0.2">
      <c r="B16" s="13" t="s">
        <v>18</v>
      </c>
      <c r="C16" s="14">
        <v>266125.71000000002</v>
      </c>
      <c r="D16" s="14">
        <v>241170.97</v>
      </c>
      <c r="E16" s="14">
        <v>24954.74</v>
      </c>
      <c r="F16" s="15"/>
      <c r="G16" s="14">
        <v>11978.28</v>
      </c>
      <c r="H16" s="15"/>
      <c r="I16" s="15"/>
      <c r="J16" s="14">
        <v>266125.71000000002</v>
      </c>
      <c r="K16" s="14">
        <v>253149.25</v>
      </c>
      <c r="L16" s="14">
        <v>12976.46</v>
      </c>
    </row>
    <row r="17" spans="2:12" ht="37" customHeight="1" outlineLevel="3" x14ac:dyDescent="0.2">
      <c r="B17" s="13" t="s">
        <v>130</v>
      </c>
      <c r="C17" s="15"/>
      <c r="D17" s="15"/>
      <c r="E17" s="15"/>
      <c r="F17" s="14">
        <v>1100000</v>
      </c>
      <c r="G17" s="14">
        <v>103529.44</v>
      </c>
      <c r="H17" s="15"/>
      <c r="I17" s="15"/>
      <c r="J17" s="14">
        <v>1100000</v>
      </c>
      <c r="K17" s="14">
        <v>103529.44</v>
      </c>
      <c r="L17" s="14">
        <v>996470.56</v>
      </c>
    </row>
    <row r="18" spans="2:12" ht="12" customHeight="1" outlineLevel="1" x14ac:dyDescent="0.2">
      <c r="B18" s="9" t="s">
        <v>19</v>
      </c>
      <c r="C18" s="10">
        <v>1396822.03</v>
      </c>
      <c r="D18" s="10">
        <v>1191057.1100000001</v>
      </c>
      <c r="E18" s="10">
        <v>205764.92</v>
      </c>
      <c r="F18" s="11"/>
      <c r="G18" s="10">
        <v>136124.54</v>
      </c>
      <c r="H18" s="11"/>
      <c r="I18" s="11"/>
      <c r="J18" s="10">
        <v>1396822.03</v>
      </c>
      <c r="K18" s="10">
        <v>1327181.6499999999</v>
      </c>
      <c r="L18" s="10">
        <v>69640.38</v>
      </c>
    </row>
    <row r="19" spans="2:12" ht="12" customHeight="1" outlineLevel="2" x14ac:dyDescent="0.2">
      <c r="B19" s="12" t="s">
        <v>66</v>
      </c>
      <c r="C19" s="10">
        <v>1396822.03</v>
      </c>
      <c r="D19" s="10">
        <v>1191057.1100000001</v>
      </c>
      <c r="E19" s="10">
        <v>205764.92</v>
      </c>
      <c r="F19" s="11"/>
      <c r="G19" s="10">
        <v>136124.54</v>
      </c>
      <c r="H19" s="11"/>
      <c r="I19" s="11"/>
      <c r="J19" s="10">
        <v>1396822.03</v>
      </c>
      <c r="K19" s="10">
        <v>1327181.6499999999</v>
      </c>
      <c r="L19" s="10">
        <v>69640.38</v>
      </c>
    </row>
    <row r="20" spans="2:12" ht="37" customHeight="1" outlineLevel="3" x14ac:dyDescent="0.2">
      <c r="B20" s="13" t="s">
        <v>20</v>
      </c>
      <c r="C20" s="14">
        <v>527500</v>
      </c>
      <c r="D20" s="14">
        <v>389139.32</v>
      </c>
      <c r="E20" s="14">
        <v>138360.68</v>
      </c>
      <c r="F20" s="15"/>
      <c r="G20" s="14">
        <v>103770.5</v>
      </c>
      <c r="H20" s="15"/>
      <c r="I20" s="15"/>
      <c r="J20" s="14">
        <v>527500</v>
      </c>
      <c r="K20" s="14">
        <v>492909.82</v>
      </c>
      <c r="L20" s="14">
        <v>34590.18</v>
      </c>
    </row>
    <row r="21" spans="2:12" ht="37" customHeight="1" outlineLevel="3" x14ac:dyDescent="0.2">
      <c r="B21" s="13" t="s">
        <v>129</v>
      </c>
      <c r="C21" s="14">
        <v>869322.03</v>
      </c>
      <c r="D21" s="14">
        <v>801917.79</v>
      </c>
      <c r="E21" s="14">
        <v>67404.240000000005</v>
      </c>
      <c r="F21" s="15"/>
      <c r="G21" s="14">
        <v>32354.04</v>
      </c>
      <c r="H21" s="15"/>
      <c r="I21" s="15"/>
      <c r="J21" s="14">
        <v>869322.03</v>
      </c>
      <c r="K21" s="14">
        <v>834271.83</v>
      </c>
      <c r="L21" s="14">
        <v>35050.199999999997</v>
      </c>
    </row>
    <row r="22" spans="2:12" ht="12" customHeight="1" outlineLevel="1" x14ac:dyDescent="0.2">
      <c r="B22" s="9" t="s">
        <v>21</v>
      </c>
      <c r="C22" s="10">
        <v>32436031.210000001</v>
      </c>
      <c r="D22" s="10">
        <v>16747855.01</v>
      </c>
      <c r="E22" s="10">
        <v>15688176.199999999</v>
      </c>
      <c r="F22" s="10">
        <v>1095910.3899999999</v>
      </c>
      <c r="G22" s="10">
        <v>1401225.7</v>
      </c>
      <c r="H22" s="10">
        <v>111101.69</v>
      </c>
      <c r="I22" s="10">
        <v>75273.070000000007</v>
      </c>
      <c r="J22" s="10">
        <v>33420839.91</v>
      </c>
      <c r="K22" s="10">
        <v>18073807.640000001</v>
      </c>
      <c r="L22" s="10">
        <v>15347032.27</v>
      </c>
    </row>
    <row r="23" spans="2:12" ht="12" customHeight="1" outlineLevel="2" x14ac:dyDescent="0.2">
      <c r="B23" s="12" t="s">
        <v>67</v>
      </c>
      <c r="C23" s="11"/>
      <c r="D23" s="11"/>
      <c r="E23" s="11"/>
      <c r="F23" s="10">
        <v>41101.69</v>
      </c>
      <c r="G23" s="10">
        <v>41087.019999999997</v>
      </c>
      <c r="H23" s="11"/>
      <c r="I23" s="11"/>
      <c r="J23" s="10">
        <v>41101.69</v>
      </c>
      <c r="K23" s="10">
        <v>41087.019999999997</v>
      </c>
      <c r="L23" s="17">
        <v>14.67</v>
      </c>
    </row>
    <row r="24" spans="2:12" ht="25" customHeight="1" outlineLevel="3" x14ac:dyDescent="0.2">
      <c r="B24" s="13" t="s">
        <v>22</v>
      </c>
      <c r="C24" s="15"/>
      <c r="D24" s="15"/>
      <c r="E24" s="15"/>
      <c r="F24" s="14">
        <v>41101.69</v>
      </c>
      <c r="G24" s="14">
        <v>41087.019999999997</v>
      </c>
      <c r="H24" s="15"/>
      <c r="I24" s="15"/>
      <c r="J24" s="14">
        <v>41101.69</v>
      </c>
      <c r="K24" s="14">
        <v>41087.019999999997</v>
      </c>
      <c r="L24" s="16">
        <v>14.67</v>
      </c>
    </row>
    <row r="25" spans="2:12" ht="13" customHeight="1" x14ac:dyDescent="0.2">
      <c r="B25" s="7" t="s">
        <v>36</v>
      </c>
      <c r="C25" s="8">
        <v>1061098993.12</v>
      </c>
      <c r="D25" s="8">
        <v>429145959.38999999</v>
      </c>
      <c r="E25" s="8">
        <v>631953033.73000002</v>
      </c>
      <c r="F25" s="8">
        <v>70471573.489999995</v>
      </c>
      <c r="G25" s="8">
        <v>232357802.88999999</v>
      </c>
      <c r="H25" s="8">
        <v>102023566.79000001</v>
      </c>
      <c r="I25" s="8">
        <v>17842005.699999999</v>
      </c>
      <c r="J25" s="8">
        <v>1029546999.8200001</v>
      </c>
      <c r="K25" s="8">
        <v>643661756.58000004</v>
      </c>
      <c r="L25" s="8">
        <v>385885243.24000001</v>
      </c>
    </row>
    <row r="26" spans="2:12" ht="12" customHeight="1" outlineLevel="1" x14ac:dyDescent="0.2">
      <c r="B26" s="9" t="s">
        <v>15</v>
      </c>
      <c r="C26" s="10">
        <v>151346269.40000001</v>
      </c>
      <c r="D26" s="10">
        <v>58436349.329999998</v>
      </c>
      <c r="E26" s="10">
        <v>92909920.069999993</v>
      </c>
      <c r="F26" s="10">
        <v>2326781.1800000002</v>
      </c>
      <c r="G26" s="10">
        <v>31117224.949999999</v>
      </c>
      <c r="H26" s="10">
        <v>1259839.19</v>
      </c>
      <c r="I26" s="11"/>
      <c r="J26" s="10">
        <v>152413211.38999999</v>
      </c>
      <c r="K26" s="10">
        <v>89553574.280000001</v>
      </c>
      <c r="L26" s="10">
        <v>62859637.109999999</v>
      </c>
    </row>
    <row r="27" spans="2:12" ht="12" customHeight="1" outlineLevel="2" x14ac:dyDescent="0.2">
      <c r="B27" s="12" t="s">
        <v>16</v>
      </c>
      <c r="C27" s="10">
        <v>146629619.62</v>
      </c>
      <c r="D27" s="10">
        <v>57964684.350000001</v>
      </c>
      <c r="E27" s="10">
        <v>88664935.269999996</v>
      </c>
      <c r="F27" s="10">
        <v>2321608.67</v>
      </c>
      <c r="G27" s="10">
        <v>30173248.43</v>
      </c>
      <c r="H27" s="10">
        <v>1259839.19</v>
      </c>
      <c r="I27" s="11"/>
      <c r="J27" s="10">
        <v>147691389.09999999</v>
      </c>
      <c r="K27" s="10">
        <v>88137932.780000001</v>
      </c>
      <c r="L27" s="10">
        <v>59553456.32</v>
      </c>
    </row>
    <row r="28" spans="2:12" ht="63" customHeight="1" outlineLevel="3" x14ac:dyDescent="0.2">
      <c r="B28" s="13" t="s">
        <v>126</v>
      </c>
      <c r="C28" s="14">
        <v>7232136.9800000004</v>
      </c>
      <c r="D28" s="14">
        <v>2837310.88</v>
      </c>
      <c r="E28" s="14">
        <v>4394826.0999999996</v>
      </c>
      <c r="F28" s="14">
        <v>131701.45000000001</v>
      </c>
      <c r="G28" s="14">
        <v>1486213.78</v>
      </c>
      <c r="H28" s="14">
        <v>71468.850000000006</v>
      </c>
      <c r="I28" s="15"/>
      <c r="J28" s="14">
        <v>7292369.5800000001</v>
      </c>
      <c r="K28" s="14">
        <v>4323524.66</v>
      </c>
      <c r="L28" s="14">
        <v>2968844.92</v>
      </c>
    </row>
    <row r="29" spans="2:12" ht="75" customHeight="1" outlineLevel="3" x14ac:dyDescent="0.2">
      <c r="B29" s="13" t="s">
        <v>125</v>
      </c>
      <c r="C29" s="14">
        <v>7780696.5499999998</v>
      </c>
      <c r="D29" s="14">
        <v>3165029.04</v>
      </c>
      <c r="E29" s="14">
        <v>4615667.51</v>
      </c>
      <c r="F29" s="15"/>
      <c r="G29" s="14">
        <v>1582514.57</v>
      </c>
      <c r="H29" s="15"/>
      <c r="I29" s="15"/>
      <c r="J29" s="14">
        <v>7780696.5499999998</v>
      </c>
      <c r="K29" s="14">
        <v>4747543.6100000003</v>
      </c>
      <c r="L29" s="14">
        <v>3033152.94</v>
      </c>
    </row>
    <row r="30" spans="2:12" ht="50" customHeight="1" outlineLevel="3" x14ac:dyDescent="0.2">
      <c r="B30" s="13" t="s">
        <v>128</v>
      </c>
      <c r="C30" s="14">
        <v>109190270.7</v>
      </c>
      <c r="D30" s="14">
        <v>42837510.079999998</v>
      </c>
      <c r="E30" s="14">
        <v>66352760.619999997</v>
      </c>
      <c r="F30" s="14">
        <v>1988417.73</v>
      </c>
      <c r="G30" s="14">
        <v>22438745.98</v>
      </c>
      <c r="H30" s="14">
        <v>1079031.28</v>
      </c>
      <c r="I30" s="15"/>
      <c r="J30" s="14">
        <v>110099657.15000001</v>
      </c>
      <c r="K30" s="14">
        <v>65276256.060000002</v>
      </c>
      <c r="L30" s="14">
        <v>44823401.090000004</v>
      </c>
    </row>
    <row r="31" spans="2:12" ht="75" customHeight="1" outlineLevel="3" x14ac:dyDescent="0.2">
      <c r="B31" s="13" t="s">
        <v>124</v>
      </c>
      <c r="C31" s="14">
        <v>11362189.890000001</v>
      </c>
      <c r="D31" s="14">
        <v>4784079.95</v>
      </c>
      <c r="E31" s="14">
        <v>6578109.9400000004</v>
      </c>
      <c r="F31" s="15"/>
      <c r="G31" s="14">
        <v>2392039.98</v>
      </c>
      <c r="H31" s="15"/>
      <c r="I31" s="15"/>
      <c r="J31" s="14">
        <v>11362189.890000001</v>
      </c>
      <c r="K31" s="14">
        <v>7176119.9299999997</v>
      </c>
      <c r="L31" s="14">
        <v>4186069.96</v>
      </c>
    </row>
    <row r="32" spans="2:12" ht="25" customHeight="1" outlineLevel="3" x14ac:dyDescent="0.2">
      <c r="B32" s="13" t="s">
        <v>127</v>
      </c>
      <c r="C32" s="14">
        <v>11064325.5</v>
      </c>
      <c r="D32" s="14">
        <v>4340754.4000000004</v>
      </c>
      <c r="E32" s="14">
        <v>6723571.0999999996</v>
      </c>
      <c r="F32" s="14">
        <v>201489.49</v>
      </c>
      <c r="G32" s="14">
        <v>2273734.12</v>
      </c>
      <c r="H32" s="14">
        <v>109339.06</v>
      </c>
      <c r="I32" s="15"/>
      <c r="J32" s="14">
        <v>11156475.93</v>
      </c>
      <c r="K32" s="14">
        <v>6614488.5199999996</v>
      </c>
      <c r="L32" s="14">
        <v>4541987.41</v>
      </c>
    </row>
    <row r="33" spans="2:12" ht="12" customHeight="1" outlineLevel="2" x14ac:dyDescent="0.2">
      <c r="B33" s="12" t="s">
        <v>68</v>
      </c>
      <c r="C33" s="10">
        <v>4716649.78</v>
      </c>
      <c r="D33" s="10">
        <v>471664.98</v>
      </c>
      <c r="E33" s="10">
        <v>4244984.8</v>
      </c>
      <c r="F33" s="10">
        <v>5172.51</v>
      </c>
      <c r="G33" s="10">
        <v>943976.52</v>
      </c>
      <c r="H33" s="11"/>
      <c r="I33" s="11"/>
      <c r="J33" s="10">
        <v>4721822.29</v>
      </c>
      <c r="K33" s="10">
        <v>1415641.5</v>
      </c>
      <c r="L33" s="10">
        <v>3306180.79</v>
      </c>
    </row>
    <row r="34" spans="2:12" ht="63" customHeight="1" outlineLevel="3" x14ac:dyDescent="0.2">
      <c r="B34" s="13" t="s">
        <v>118</v>
      </c>
      <c r="C34" s="14">
        <v>4716649.78</v>
      </c>
      <c r="D34" s="14">
        <v>471664.98</v>
      </c>
      <c r="E34" s="14">
        <v>4244984.8</v>
      </c>
      <c r="F34" s="14">
        <v>5172.51</v>
      </c>
      <c r="G34" s="14">
        <v>943976.52</v>
      </c>
      <c r="H34" s="15"/>
      <c r="I34" s="15"/>
      <c r="J34" s="14">
        <v>4721822.29</v>
      </c>
      <c r="K34" s="14">
        <v>1415641.5</v>
      </c>
      <c r="L34" s="14">
        <v>3306180.79</v>
      </c>
    </row>
    <row r="35" spans="2:12" ht="12" customHeight="1" outlineLevel="1" x14ac:dyDescent="0.2">
      <c r="B35" s="9" t="s">
        <v>23</v>
      </c>
      <c r="C35" s="10">
        <v>399206832.20999998</v>
      </c>
      <c r="D35" s="10">
        <v>181198931.65000001</v>
      </c>
      <c r="E35" s="10">
        <v>218007900.56</v>
      </c>
      <c r="F35" s="10">
        <v>9473052.8399999999</v>
      </c>
      <c r="G35" s="10">
        <v>89172129.989999995</v>
      </c>
      <c r="H35" s="10">
        <v>32831703.940000001</v>
      </c>
      <c r="I35" s="11"/>
      <c r="J35" s="10">
        <v>375848181.11000001</v>
      </c>
      <c r="K35" s="10">
        <v>270371061.63999999</v>
      </c>
      <c r="L35" s="10">
        <v>105477119.47</v>
      </c>
    </row>
    <row r="36" spans="2:12" ht="12" customHeight="1" outlineLevel="2" x14ac:dyDescent="0.2">
      <c r="B36" s="12" t="s">
        <v>69</v>
      </c>
      <c r="C36" s="10">
        <v>88926299.549999997</v>
      </c>
      <c r="D36" s="10">
        <v>22231574.879999999</v>
      </c>
      <c r="E36" s="10">
        <v>66694724.670000002</v>
      </c>
      <c r="F36" s="10">
        <v>3614794.33</v>
      </c>
      <c r="G36" s="10">
        <v>15700955.189999999</v>
      </c>
      <c r="H36" s="10">
        <v>20841225.43</v>
      </c>
      <c r="I36" s="11"/>
      <c r="J36" s="10">
        <v>71699868.450000003</v>
      </c>
      <c r="K36" s="10">
        <v>37932530.07</v>
      </c>
      <c r="L36" s="10">
        <v>33767338.380000003</v>
      </c>
    </row>
    <row r="37" spans="2:12" ht="50" customHeight="1" outlineLevel="3" x14ac:dyDescent="0.2">
      <c r="B37" s="13" t="s">
        <v>63</v>
      </c>
      <c r="C37" s="15"/>
      <c r="D37" s="15"/>
      <c r="E37" s="15"/>
      <c r="F37" s="14">
        <v>3614794.33</v>
      </c>
      <c r="G37" s="14">
        <v>60246.57</v>
      </c>
      <c r="H37" s="15"/>
      <c r="I37" s="15"/>
      <c r="J37" s="14">
        <v>3614794.33</v>
      </c>
      <c r="K37" s="14">
        <v>60246.57</v>
      </c>
      <c r="L37" s="14">
        <v>3554547.76</v>
      </c>
    </row>
    <row r="38" spans="2:12" ht="63" customHeight="1" outlineLevel="3" x14ac:dyDescent="0.2">
      <c r="B38" s="13" t="s">
        <v>64</v>
      </c>
      <c r="C38" s="14">
        <v>88926299.549999997</v>
      </c>
      <c r="D38" s="14">
        <v>22231574.879999999</v>
      </c>
      <c r="E38" s="14">
        <v>66694724.670000002</v>
      </c>
      <c r="F38" s="15"/>
      <c r="G38" s="14">
        <v>15640708.619999999</v>
      </c>
      <c r="H38" s="14">
        <v>20841225.43</v>
      </c>
      <c r="I38" s="15"/>
      <c r="J38" s="14">
        <v>68085074.120000005</v>
      </c>
      <c r="K38" s="14">
        <v>37872283.5</v>
      </c>
      <c r="L38" s="14">
        <v>30212790.620000001</v>
      </c>
    </row>
    <row r="39" spans="2:12" ht="12" customHeight="1" outlineLevel="1" x14ac:dyDescent="0.2">
      <c r="B39" s="9" t="s">
        <v>24</v>
      </c>
      <c r="C39" s="10">
        <v>12821228.699999999</v>
      </c>
      <c r="D39" s="10">
        <v>5054113.03</v>
      </c>
      <c r="E39" s="10">
        <v>7767115.6699999999</v>
      </c>
      <c r="F39" s="11"/>
      <c r="G39" s="10">
        <v>2494749.2999999998</v>
      </c>
      <c r="H39" s="10">
        <v>307769.65999999997</v>
      </c>
      <c r="I39" s="11"/>
      <c r="J39" s="10">
        <v>12513459.039999999</v>
      </c>
      <c r="K39" s="10">
        <v>7548862.3300000001</v>
      </c>
      <c r="L39" s="10">
        <v>4964596.71</v>
      </c>
    </row>
    <row r="40" spans="2:12" ht="12" customHeight="1" outlineLevel="2" x14ac:dyDescent="0.2">
      <c r="B40" s="12" t="s">
        <v>70</v>
      </c>
      <c r="C40" s="10">
        <v>12821228.699999999</v>
      </c>
      <c r="D40" s="10">
        <v>5054113.03</v>
      </c>
      <c r="E40" s="10">
        <v>7767115.6699999999</v>
      </c>
      <c r="F40" s="11"/>
      <c r="G40" s="10">
        <v>2494749.2999999998</v>
      </c>
      <c r="H40" s="10">
        <v>307769.65999999997</v>
      </c>
      <c r="I40" s="11"/>
      <c r="J40" s="10">
        <v>12513459.039999999</v>
      </c>
      <c r="K40" s="10">
        <v>7548862.3300000001</v>
      </c>
      <c r="L40" s="10">
        <v>4964596.71</v>
      </c>
    </row>
    <row r="41" spans="2:12" ht="63" customHeight="1" outlineLevel="3" x14ac:dyDescent="0.2">
      <c r="B41" s="13" t="s">
        <v>71</v>
      </c>
      <c r="C41" s="14">
        <v>202850.51</v>
      </c>
      <c r="D41" s="14">
        <v>6761.68</v>
      </c>
      <c r="E41" s="14">
        <v>196088.83</v>
      </c>
      <c r="F41" s="15"/>
      <c r="G41" s="14">
        <v>40570.080000000002</v>
      </c>
      <c r="H41" s="15"/>
      <c r="I41" s="15"/>
      <c r="J41" s="14">
        <v>202850.51</v>
      </c>
      <c r="K41" s="14">
        <v>47331.76</v>
      </c>
      <c r="L41" s="14">
        <v>155518.75</v>
      </c>
    </row>
    <row r="42" spans="2:12" ht="75" customHeight="1" outlineLevel="3" x14ac:dyDescent="0.2">
      <c r="B42" s="13" t="s">
        <v>119</v>
      </c>
      <c r="C42" s="14">
        <v>11037060.33</v>
      </c>
      <c r="D42" s="14">
        <v>4414824.1500000004</v>
      </c>
      <c r="E42" s="14">
        <v>6622236.1799999997</v>
      </c>
      <c r="F42" s="15"/>
      <c r="G42" s="14">
        <v>2148536.86</v>
      </c>
      <c r="H42" s="14">
        <v>260732.96</v>
      </c>
      <c r="I42" s="15"/>
      <c r="J42" s="14">
        <v>10776327.369999999</v>
      </c>
      <c r="K42" s="14">
        <v>6563361.0099999998</v>
      </c>
      <c r="L42" s="14">
        <v>4212966.3600000003</v>
      </c>
    </row>
    <row r="43" spans="2:12" ht="75" customHeight="1" outlineLevel="3" x14ac:dyDescent="0.2">
      <c r="B43" s="13" t="s">
        <v>120</v>
      </c>
      <c r="C43" s="14">
        <v>1581317.86</v>
      </c>
      <c r="D43" s="14">
        <v>632527.19999999995</v>
      </c>
      <c r="E43" s="14">
        <v>948790.66</v>
      </c>
      <c r="F43" s="15"/>
      <c r="G43" s="14">
        <v>305642.36</v>
      </c>
      <c r="H43" s="14">
        <v>47036.7</v>
      </c>
      <c r="I43" s="15"/>
      <c r="J43" s="14">
        <v>1534281.16</v>
      </c>
      <c r="K43" s="14">
        <v>938169.56</v>
      </c>
      <c r="L43" s="14">
        <v>596111.6</v>
      </c>
    </row>
    <row r="44" spans="2:12" ht="12" customHeight="1" outlineLevel="1" x14ac:dyDescent="0.2">
      <c r="B44" s="9" t="s">
        <v>29</v>
      </c>
      <c r="C44" s="10">
        <v>33604907.390000001</v>
      </c>
      <c r="D44" s="10">
        <v>13110947.5</v>
      </c>
      <c r="E44" s="10">
        <v>20493959.890000001</v>
      </c>
      <c r="F44" s="10">
        <v>2413375.0299999998</v>
      </c>
      <c r="G44" s="10">
        <v>7589809.2400000002</v>
      </c>
      <c r="H44" s="11"/>
      <c r="I44" s="11"/>
      <c r="J44" s="10">
        <v>36018282.420000002</v>
      </c>
      <c r="K44" s="10">
        <v>20700756.739999998</v>
      </c>
      <c r="L44" s="10">
        <v>15317525.68</v>
      </c>
    </row>
    <row r="45" spans="2:12" ht="12" customHeight="1" outlineLevel="2" x14ac:dyDescent="0.2">
      <c r="B45" s="12" t="s">
        <v>72</v>
      </c>
      <c r="C45" s="10">
        <v>28365011.039999999</v>
      </c>
      <c r="D45" s="10">
        <v>11014988.93</v>
      </c>
      <c r="E45" s="10">
        <v>17350022.109999999</v>
      </c>
      <c r="F45" s="10">
        <v>2071026.51</v>
      </c>
      <c r="G45" s="10">
        <v>6434234.7400000002</v>
      </c>
      <c r="H45" s="11"/>
      <c r="I45" s="11"/>
      <c r="J45" s="10">
        <v>30436037.550000001</v>
      </c>
      <c r="K45" s="10">
        <v>17449223.670000002</v>
      </c>
      <c r="L45" s="10">
        <v>12986813.880000001</v>
      </c>
    </row>
    <row r="46" spans="2:12" ht="63" customHeight="1" outlineLevel="3" x14ac:dyDescent="0.2">
      <c r="B46" s="13" t="s">
        <v>121</v>
      </c>
      <c r="C46" s="14">
        <v>28365011.039999999</v>
      </c>
      <c r="D46" s="14">
        <v>11014988.93</v>
      </c>
      <c r="E46" s="14">
        <v>17350022.109999999</v>
      </c>
      <c r="F46" s="14">
        <v>2071026.51</v>
      </c>
      <c r="G46" s="14">
        <v>6434234.7400000002</v>
      </c>
      <c r="H46" s="15"/>
      <c r="I46" s="15"/>
      <c r="J46" s="14">
        <v>30436037.550000001</v>
      </c>
      <c r="K46" s="14">
        <v>17449223.670000002</v>
      </c>
      <c r="L46" s="14">
        <v>12986813.880000001</v>
      </c>
    </row>
    <row r="47" spans="2:12" ht="12" customHeight="1" outlineLevel="1" x14ac:dyDescent="0.2">
      <c r="B47" s="9" t="s">
        <v>25</v>
      </c>
      <c r="C47" s="10">
        <v>38267699.479999997</v>
      </c>
      <c r="D47" s="10">
        <v>11560042.32</v>
      </c>
      <c r="E47" s="10">
        <v>26707657.16</v>
      </c>
      <c r="F47" s="10">
        <v>61974.13</v>
      </c>
      <c r="G47" s="10">
        <v>6878611.1500000004</v>
      </c>
      <c r="H47" s="10">
        <v>6219508.8300000001</v>
      </c>
      <c r="I47" s="11"/>
      <c r="J47" s="10">
        <v>32110164.780000001</v>
      </c>
      <c r="K47" s="10">
        <v>18438653.469999999</v>
      </c>
      <c r="L47" s="10">
        <v>13671511.310000001</v>
      </c>
    </row>
    <row r="48" spans="2:12" ht="12" customHeight="1" outlineLevel="2" x14ac:dyDescent="0.2">
      <c r="B48" s="12" t="s">
        <v>73</v>
      </c>
      <c r="C48" s="10">
        <v>24860076.280000001</v>
      </c>
      <c r="D48" s="10">
        <v>6141084.5</v>
      </c>
      <c r="E48" s="10">
        <v>18718991.780000001</v>
      </c>
      <c r="F48" s="11"/>
      <c r="G48" s="10">
        <v>4196245.1100000003</v>
      </c>
      <c r="H48" s="10">
        <v>6219508.8300000001</v>
      </c>
      <c r="I48" s="11"/>
      <c r="J48" s="10">
        <v>18640567.449999999</v>
      </c>
      <c r="K48" s="10">
        <v>10337329.609999999</v>
      </c>
      <c r="L48" s="10">
        <v>8303237.8399999999</v>
      </c>
    </row>
    <row r="49" spans="2:12" ht="50" customHeight="1" outlineLevel="3" x14ac:dyDescent="0.2">
      <c r="B49" s="13" t="s">
        <v>40</v>
      </c>
      <c r="C49" s="14">
        <v>354886.02</v>
      </c>
      <c r="D49" s="14">
        <v>14786.9</v>
      </c>
      <c r="E49" s="14">
        <v>340099.12</v>
      </c>
      <c r="F49" s="15"/>
      <c r="G49" s="14">
        <v>35488.559999999998</v>
      </c>
      <c r="H49" s="15"/>
      <c r="I49" s="15"/>
      <c r="J49" s="14">
        <v>354886.02</v>
      </c>
      <c r="K49" s="14">
        <v>50275.46</v>
      </c>
      <c r="L49" s="14">
        <v>304610.56</v>
      </c>
    </row>
    <row r="50" spans="2:12" ht="75" customHeight="1" outlineLevel="3" x14ac:dyDescent="0.2">
      <c r="B50" s="13" t="s">
        <v>122</v>
      </c>
      <c r="C50" s="14">
        <v>24505190.260000002</v>
      </c>
      <c r="D50" s="14">
        <v>6126297.5999999996</v>
      </c>
      <c r="E50" s="14">
        <v>18378892.66</v>
      </c>
      <c r="F50" s="15"/>
      <c r="G50" s="14">
        <v>4160756.55</v>
      </c>
      <c r="H50" s="14">
        <v>6219508.8300000001</v>
      </c>
      <c r="I50" s="15"/>
      <c r="J50" s="14">
        <v>18285681.43</v>
      </c>
      <c r="K50" s="14">
        <v>10287054.15</v>
      </c>
      <c r="L50" s="14">
        <v>7998627.2800000003</v>
      </c>
    </row>
    <row r="51" spans="2:12" ht="12" customHeight="1" outlineLevel="2" x14ac:dyDescent="0.2">
      <c r="B51" s="12" t="s">
        <v>32</v>
      </c>
      <c r="C51" s="10">
        <v>13407623.199999999</v>
      </c>
      <c r="D51" s="10">
        <v>5418957.8200000003</v>
      </c>
      <c r="E51" s="10">
        <v>7988665.3799999999</v>
      </c>
      <c r="F51" s="10">
        <v>61974.13</v>
      </c>
      <c r="G51" s="10">
        <v>2682366.04</v>
      </c>
      <c r="H51" s="11"/>
      <c r="I51" s="11"/>
      <c r="J51" s="10">
        <v>13469597.33</v>
      </c>
      <c r="K51" s="10">
        <v>8101323.8600000003</v>
      </c>
      <c r="L51" s="10">
        <v>5368273.47</v>
      </c>
    </row>
    <row r="52" spans="2:12" ht="25" customHeight="1" outlineLevel="3" x14ac:dyDescent="0.2">
      <c r="B52" s="13" t="s">
        <v>38</v>
      </c>
      <c r="C52" s="14">
        <v>12457628.970000001</v>
      </c>
      <c r="D52" s="14">
        <v>4959324.8099999996</v>
      </c>
      <c r="E52" s="14">
        <v>7498304.1600000001</v>
      </c>
      <c r="F52" s="14">
        <v>57673.74</v>
      </c>
      <c r="G52" s="14">
        <v>2517560.7799999998</v>
      </c>
      <c r="H52" s="15"/>
      <c r="I52" s="15"/>
      <c r="J52" s="14">
        <v>12515302.710000001</v>
      </c>
      <c r="K52" s="14">
        <v>7476885.5899999999</v>
      </c>
      <c r="L52" s="14">
        <v>5038417.12</v>
      </c>
    </row>
    <row r="53" spans="2:12" ht="37" customHeight="1" outlineLevel="3" x14ac:dyDescent="0.2">
      <c r="B53" s="13" t="s">
        <v>123</v>
      </c>
      <c r="C53" s="14">
        <v>949994.23</v>
      </c>
      <c r="D53" s="14">
        <v>459633.01</v>
      </c>
      <c r="E53" s="14">
        <v>490361.22</v>
      </c>
      <c r="F53" s="14">
        <v>4300.3900000000003</v>
      </c>
      <c r="G53" s="14">
        <v>164805.26</v>
      </c>
      <c r="H53" s="15"/>
      <c r="I53" s="15"/>
      <c r="J53" s="14">
        <v>954294.62</v>
      </c>
      <c r="K53" s="14">
        <v>624438.27</v>
      </c>
      <c r="L53" s="14">
        <v>329856.34999999998</v>
      </c>
    </row>
    <row r="54" spans="2:12" ht="12" customHeight="1" outlineLevel="1" x14ac:dyDescent="0.2">
      <c r="B54" s="9" t="s">
        <v>26</v>
      </c>
      <c r="C54" s="10">
        <v>200216999.46000001</v>
      </c>
      <c r="D54" s="10">
        <v>79847069.780000001</v>
      </c>
      <c r="E54" s="10">
        <v>120369929.68000001</v>
      </c>
      <c r="F54" s="10">
        <v>24708533.609999999</v>
      </c>
      <c r="G54" s="10">
        <v>41277844.280000001</v>
      </c>
      <c r="H54" s="10">
        <v>27725676.329999998</v>
      </c>
      <c r="I54" s="10">
        <v>14528190.300000001</v>
      </c>
      <c r="J54" s="10">
        <v>197199856.74000001</v>
      </c>
      <c r="K54" s="10">
        <v>106596723.76000001</v>
      </c>
      <c r="L54" s="10">
        <v>90603132.980000004</v>
      </c>
    </row>
    <row r="55" spans="2:12" ht="12" customHeight="1" outlineLevel="2" x14ac:dyDescent="0.2">
      <c r="B55" s="12" t="s">
        <v>74</v>
      </c>
      <c r="C55" s="10">
        <v>172491323.13</v>
      </c>
      <c r="D55" s="10">
        <v>67856749.099999994</v>
      </c>
      <c r="E55" s="10">
        <v>104634574.03</v>
      </c>
      <c r="F55" s="11"/>
      <c r="G55" s="10">
        <v>33935537.539999999</v>
      </c>
      <c r="H55" s="11"/>
      <c r="I55" s="11"/>
      <c r="J55" s="10">
        <v>172491323.13</v>
      </c>
      <c r="K55" s="10">
        <v>101792286.64</v>
      </c>
      <c r="L55" s="10">
        <v>70699036.489999995</v>
      </c>
    </row>
    <row r="56" spans="2:12" ht="37" customHeight="1" outlineLevel="3" x14ac:dyDescent="0.2">
      <c r="B56" s="13" t="s">
        <v>75</v>
      </c>
      <c r="C56" s="14">
        <v>123505440</v>
      </c>
      <c r="D56" s="14">
        <v>48592304.229999997</v>
      </c>
      <c r="E56" s="14">
        <v>74913135.769999996</v>
      </c>
      <c r="F56" s="15"/>
      <c r="G56" s="14">
        <v>24296152.149999999</v>
      </c>
      <c r="H56" s="15"/>
      <c r="I56" s="15"/>
      <c r="J56" s="14">
        <v>123505440</v>
      </c>
      <c r="K56" s="14">
        <v>72888456.379999995</v>
      </c>
      <c r="L56" s="14">
        <v>50616983.619999997</v>
      </c>
    </row>
    <row r="57" spans="2:12" ht="37" customHeight="1" outlineLevel="3" x14ac:dyDescent="0.2">
      <c r="B57" s="13" t="s">
        <v>76</v>
      </c>
      <c r="C57" s="14">
        <v>48985883.130000003</v>
      </c>
      <c r="D57" s="14">
        <v>19264444.870000001</v>
      </c>
      <c r="E57" s="14">
        <v>29721438.260000002</v>
      </c>
      <c r="F57" s="15"/>
      <c r="G57" s="14">
        <v>9639385.3900000006</v>
      </c>
      <c r="H57" s="15"/>
      <c r="I57" s="15"/>
      <c r="J57" s="14">
        <v>48985883.130000003</v>
      </c>
      <c r="K57" s="14">
        <v>28903830.260000002</v>
      </c>
      <c r="L57" s="14">
        <v>20082052.870000001</v>
      </c>
    </row>
    <row r="58" spans="2:12" ht="13" customHeight="1" x14ac:dyDescent="0.2">
      <c r="B58" s="18" t="s">
        <v>39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</row>
  </sheetData>
  <mergeCells count="15">
    <mergeCell ref="C7:C8"/>
    <mergeCell ref="D7:D8"/>
    <mergeCell ref="E7:E8"/>
    <mergeCell ref="F7:F8"/>
    <mergeCell ref="G7:G8"/>
    <mergeCell ref="B1:H1"/>
    <mergeCell ref="B4:L4"/>
    <mergeCell ref="C6:E6"/>
    <mergeCell ref="F6:I6"/>
    <mergeCell ref="J6:L6"/>
    <mergeCell ref="H7:H8"/>
    <mergeCell ref="I7:I8"/>
    <mergeCell ref="J7:J8"/>
    <mergeCell ref="K7:K8"/>
    <mergeCell ref="L7:L8"/>
  </mergeCells>
  <pageMargins left="0.19685039370078741" right="0.19685039370078741" top="0.39370078740157483" bottom="0.39370078740157483" header="0" footer="0"/>
  <pageSetup paperSize="9" fitToHeight="0" pageOrder="overThenDown" orientation="portrait"/>
  <headerFooter>
    <oddHeader>&amp;L&amp;"Arial,normal"&amp;8&amp;D &amp;T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E46C-B19F-475B-A2DE-FD898E897276}">
  <sheetPr>
    <tabColor theme="8" tint="0.59999389629810485"/>
    <outlinePr summaryBelow="0" summaryRight="0"/>
    <pageSetUpPr autoPageBreaks="0" fitToPage="1"/>
  </sheetPr>
  <dimension ref="A1:I26"/>
  <sheetViews>
    <sheetView workbookViewId="0">
      <selection activeCell="B16" sqref="B16"/>
    </sheetView>
  </sheetViews>
  <sheetFormatPr defaultColWidth="8.54296875" defaultRowHeight="11.4" customHeight="1" outlineLevelRow="5" x14ac:dyDescent="0.2"/>
  <cols>
    <col min="1" max="3" width="28.6328125" style="49" customWidth="1"/>
    <col min="4" max="9" width="15.81640625" style="49" customWidth="1"/>
    <col min="10" max="16384" width="8.54296875" style="46"/>
  </cols>
  <sheetData>
    <row r="1" spans="1:9" ht="13" customHeight="1" x14ac:dyDescent="0.3">
      <c r="A1" s="75" t="s">
        <v>61</v>
      </c>
      <c r="B1" s="75"/>
      <c r="C1" s="75"/>
      <c r="D1" s="75"/>
      <c r="E1" s="75"/>
      <c r="F1" s="75"/>
      <c r="G1" s="75"/>
      <c r="H1" s="75"/>
      <c r="I1" s="75"/>
    </row>
    <row r="2" spans="1:9" ht="16" customHeight="1" x14ac:dyDescent="0.35">
      <c r="A2" s="47" t="s">
        <v>77</v>
      </c>
      <c r="B2" s="47"/>
      <c r="C2" s="47"/>
      <c r="D2" s="48"/>
      <c r="E2" s="48"/>
      <c r="F2" s="48"/>
      <c r="G2" s="48"/>
    </row>
    <row r="3" spans="1:9" s="49" customFormat="1" ht="2" customHeight="1" x14ac:dyDescent="0.2"/>
    <row r="4" spans="1:9" ht="11" customHeight="1" x14ac:dyDescent="0.2">
      <c r="A4" s="76" t="s">
        <v>0</v>
      </c>
      <c r="B4" s="76"/>
      <c r="C4" s="76"/>
      <c r="D4" s="76"/>
      <c r="E4" s="77"/>
      <c r="F4" s="77"/>
      <c r="G4" s="77"/>
      <c r="H4" s="77"/>
      <c r="I4" s="77"/>
    </row>
    <row r="5" spans="1:9" s="49" customFormat="1" ht="2" customHeight="1" x14ac:dyDescent="0.2">
      <c r="A5" s="53"/>
      <c r="B5" s="53"/>
      <c r="C5" s="53"/>
      <c r="D5" s="53"/>
      <c r="E5" s="48"/>
      <c r="F5" s="48"/>
      <c r="G5" s="48"/>
      <c r="H5" s="48"/>
      <c r="I5" s="48"/>
    </row>
    <row r="6" spans="1:9" ht="13" customHeight="1" x14ac:dyDescent="0.2">
      <c r="A6" s="54" t="s">
        <v>78</v>
      </c>
      <c r="B6" s="54"/>
      <c r="C6" s="54"/>
      <c r="D6" s="78" t="s">
        <v>79</v>
      </c>
      <c r="E6" s="78"/>
      <c r="F6" s="78" t="s">
        <v>80</v>
      </c>
      <c r="G6" s="78"/>
      <c r="H6" s="78" t="s">
        <v>81</v>
      </c>
      <c r="I6" s="78"/>
    </row>
    <row r="7" spans="1:9" ht="13" customHeight="1" x14ac:dyDescent="0.2">
      <c r="A7" s="54" t="s">
        <v>5</v>
      </c>
      <c r="B7" s="79"/>
      <c r="C7" s="79"/>
      <c r="D7" s="80" t="s">
        <v>82</v>
      </c>
      <c r="E7" s="80" t="s">
        <v>83</v>
      </c>
      <c r="F7" s="80" t="s">
        <v>82</v>
      </c>
      <c r="G7" s="80" t="s">
        <v>83</v>
      </c>
      <c r="H7" s="80" t="s">
        <v>82</v>
      </c>
      <c r="I7" s="80" t="s">
        <v>83</v>
      </c>
    </row>
    <row r="8" spans="1:9" ht="13" customHeight="1" x14ac:dyDescent="0.2">
      <c r="A8" s="54" t="s">
        <v>84</v>
      </c>
      <c r="B8" s="81"/>
      <c r="C8" s="81"/>
      <c r="D8" s="82"/>
      <c r="E8" s="82"/>
      <c r="F8" s="82"/>
      <c r="G8" s="82"/>
      <c r="H8" s="82"/>
      <c r="I8" s="82"/>
    </row>
    <row r="9" spans="1:9" ht="13" customHeight="1" x14ac:dyDescent="0.2">
      <c r="A9" s="58" t="s">
        <v>85</v>
      </c>
      <c r="B9" s="58"/>
      <c r="C9" s="58"/>
      <c r="D9" s="59">
        <v>41720152.590000004</v>
      </c>
      <c r="E9" s="60"/>
      <c r="F9" s="59">
        <v>1110437962.8900001</v>
      </c>
      <c r="G9" s="59">
        <v>1137414480.3499999</v>
      </c>
      <c r="H9" s="59">
        <v>14743635.130000001</v>
      </c>
      <c r="I9" s="60"/>
    </row>
    <row r="10" spans="1:9" ht="13" customHeight="1" x14ac:dyDescent="0.2">
      <c r="A10" s="58"/>
      <c r="B10" s="58"/>
      <c r="C10" s="58"/>
      <c r="D10" s="59"/>
      <c r="E10" s="60"/>
      <c r="F10" s="59"/>
      <c r="G10" s="59"/>
      <c r="H10" s="59"/>
      <c r="I10" s="60"/>
    </row>
    <row r="11" spans="1:9" ht="13" customHeight="1" outlineLevel="1" x14ac:dyDescent="0.2">
      <c r="A11" s="83" t="s">
        <v>104</v>
      </c>
      <c r="B11" s="61" t="s">
        <v>105</v>
      </c>
      <c r="C11" s="61" t="s">
        <v>106</v>
      </c>
      <c r="D11" s="59" t="s">
        <v>107</v>
      </c>
      <c r="E11" s="60" t="s">
        <v>108</v>
      </c>
      <c r="F11" s="59" t="s">
        <v>109</v>
      </c>
      <c r="G11" s="60" t="s">
        <v>110</v>
      </c>
      <c r="H11" s="59" t="s">
        <v>111</v>
      </c>
      <c r="I11" s="60" t="s">
        <v>112</v>
      </c>
    </row>
    <row r="12" spans="1:9" s="49" customFormat="1" ht="12" customHeight="1" outlineLevel="4" x14ac:dyDescent="0.2">
      <c r="A12" s="84" t="s">
        <v>31</v>
      </c>
      <c r="B12" s="68" t="s">
        <v>88</v>
      </c>
      <c r="C12" s="68" t="s">
        <v>87</v>
      </c>
      <c r="D12" s="69"/>
      <c r="E12" s="69"/>
      <c r="F12" s="70">
        <v>19300</v>
      </c>
      <c r="G12" s="70">
        <v>19300</v>
      </c>
      <c r="H12" s="69"/>
      <c r="I12" s="69"/>
    </row>
    <row r="13" spans="1:9" ht="12" customHeight="1" outlineLevel="4" x14ac:dyDescent="0.2">
      <c r="A13" s="84" t="s">
        <v>16</v>
      </c>
      <c r="B13" s="68" t="s">
        <v>88</v>
      </c>
      <c r="C13" s="68" t="s">
        <v>89</v>
      </c>
      <c r="D13" s="69"/>
      <c r="E13" s="69"/>
      <c r="F13" s="70">
        <v>21760</v>
      </c>
      <c r="G13" s="70">
        <v>21760</v>
      </c>
      <c r="H13" s="69"/>
      <c r="I13" s="69"/>
    </row>
    <row r="14" spans="1:9" ht="12" customHeight="1" outlineLevel="4" x14ac:dyDescent="0.2">
      <c r="A14" s="84" t="s">
        <v>16</v>
      </c>
      <c r="B14" s="68" t="s">
        <v>91</v>
      </c>
      <c r="C14" s="68" t="s">
        <v>90</v>
      </c>
      <c r="D14" s="69"/>
      <c r="E14" s="69"/>
      <c r="F14" s="70">
        <v>255000</v>
      </c>
      <c r="G14" s="70">
        <v>255000</v>
      </c>
      <c r="H14" s="69"/>
      <c r="I14" s="69"/>
    </row>
    <row r="15" spans="1:9" ht="13.5" customHeight="1" outlineLevel="4" x14ac:dyDescent="0.2">
      <c r="A15" s="84" t="s">
        <v>16</v>
      </c>
      <c r="B15" s="68" t="s">
        <v>93</v>
      </c>
      <c r="C15" s="68" t="s">
        <v>92</v>
      </c>
      <c r="D15" s="69"/>
      <c r="E15" s="69"/>
      <c r="F15" s="70">
        <v>107420</v>
      </c>
      <c r="G15" s="70">
        <v>107420</v>
      </c>
      <c r="H15" s="69"/>
      <c r="I15" s="69"/>
    </row>
    <row r="16" spans="1:9" ht="12" customHeight="1" outlineLevel="4" x14ac:dyDescent="0.2">
      <c r="A16" s="84" t="s">
        <v>16</v>
      </c>
      <c r="B16" s="68" t="s">
        <v>93</v>
      </c>
      <c r="C16" s="68" t="s">
        <v>94</v>
      </c>
      <c r="D16" s="69"/>
      <c r="E16" s="69"/>
      <c r="F16" s="70">
        <v>24878</v>
      </c>
      <c r="G16" s="70">
        <v>24878</v>
      </c>
      <c r="H16" s="69"/>
      <c r="I16" s="69"/>
    </row>
    <row r="17" spans="1:9" ht="12" customHeight="1" outlineLevel="4" x14ac:dyDescent="0.2">
      <c r="A17" s="84" t="s">
        <v>16</v>
      </c>
      <c r="B17" s="68" t="s">
        <v>88</v>
      </c>
      <c r="C17" s="68" t="s">
        <v>95</v>
      </c>
      <c r="D17" s="69"/>
      <c r="E17" s="69"/>
      <c r="F17" s="70">
        <v>8720</v>
      </c>
      <c r="G17" s="70">
        <v>8720</v>
      </c>
      <c r="H17" s="69"/>
      <c r="I17" s="69"/>
    </row>
    <row r="18" spans="1:9" s="49" customFormat="1" ht="13" customHeight="1" outlineLevel="2" x14ac:dyDescent="0.2">
      <c r="A18" s="71" t="s">
        <v>97</v>
      </c>
      <c r="B18" s="71"/>
      <c r="C18" s="71"/>
      <c r="D18" s="60"/>
      <c r="E18" s="60"/>
      <c r="F18" s="59">
        <v>522426289.07999998</v>
      </c>
      <c r="G18" s="59">
        <v>522426289.07999998</v>
      </c>
      <c r="H18" s="60"/>
      <c r="I18" s="60"/>
    </row>
    <row r="19" spans="1:9" s="49" customFormat="1" ht="12" customHeight="1" outlineLevel="5" x14ac:dyDescent="0.2">
      <c r="A19" s="84" t="s">
        <v>97</v>
      </c>
      <c r="B19" s="68" t="s">
        <v>96</v>
      </c>
      <c r="C19" s="68" t="s">
        <v>134</v>
      </c>
      <c r="D19" s="69"/>
      <c r="E19" s="69"/>
      <c r="F19" s="70">
        <v>3156412.05</v>
      </c>
      <c r="G19" s="70">
        <v>3156412.05</v>
      </c>
      <c r="H19" s="69"/>
      <c r="I19" s="69"/>
    </row>
    <row r="20" spans="1:9" s="49" customFormat="1" ht="12" customHeight="1" outlineLevel="5" x14ac:dyDescent="0.2">
      <c r="A20" s="84" t="s">
        <v>37</v>
      </c>
      <c r="B20" s="68" t="s">
        <v>91</v>
      </c>
      <c r="C20" s="68" t="s">
        <v>133</v>
      </c>
      <c r="D20" s="69"/>
      <c r="E20" s="69"/>
      <c r="F20" s="70">
        <v>557776.75</v>
      </c>
      <c r="G20" s="70">
        <v>557776.75</v>
      </c>
      <c r="H20" s="69"/>
      <c r="I20" s="69"/>
    </row>
    <row r="21" spans="1:9" s="49" customFormat="1" ht="12" customHeight="1" outlineLevel="5" x14ac:dyDescent="0.2">
      <c r="A21" s="84" t="s">
        <v>115</v>
      </c>
      <c r="B21" s="68" t="s">
        <v>93</v>
      </c>
      <c r="C21" s="68" t="s">
        <v>113</v>
      </c>
      <c r="D21" s="69"/>
      <c r="E21" s="69"/>
      <c r="F21" s="70">
        <v>3880310.09</v>
      </c>
      <c r="G21" s="70">
        <v>3880310.09</v>
      </c>
      <c r="H21" s="69"/>
      <c r="I21" s="69"/>
    </row>
    <row r="22" spans="1:9" s="49" customFormat="1" ht="12" customHeight="1" outlineLevel="5" x14ac:dyDescent="0.2">
      <c r="A22" s="84" t="s">
        <v>116</v>
      </c>
      <c r="B22" s="68" t="s">
        <v>93</v>
      </c>
      <c r="C22" s="68" t="s">
        <v>114</v>
      </c>
      <c r="D22" s="69"/>
      <c r="E22" s="69"/>
      <c r="F22" s="70">
        <v>17444268.739999998</v>
      </c>
      <c r="G22" s="70">
        <v>17444268.739999998</v>
      </c>
      <c r="H22" s="69"/>
      <c r="I22" s="69"/>
    </row>
    <row r="23" spans="1:9" ht="13" customHeight="1" outlineLevel="1" x14ac:dyDescent="0.2">
      <c r="A23" s="61" t="s">
        <v>98</v>
      </c>
      <c r="B23" s="61"/>
      <c r="C23" s="61"/>
      <c r="D23" s="59">
        <v>39869333.329999998</v>
      </c>
      <c r="E23" s="60"/>
      <c r="F23" s="59">
        <v>264957283.33000001</v>
      </c>
      <c r="G23" s="59">
        <v>304799116.66000003</v>
      </c>
      <c r="H23" s="59">
        <v>27500</v>
      </c>
      <c r="I23" s="60"/>
    </row>
    <row r="24" spans="1:9" s="49" customFormat="1" ht="12" customHeight="1" outlineLevel="4" collapsed="1" x14ac:dyDescent="0.2">
      <c r="A24" s="84" t="s">
        <v>16</v>
      </c>
      <c r="B24" s="68" t="s">
        <v>91</v>
      </c>
      <c r="C24" s="68" t="s">
        <v>135</v>
      </c>
      <c r="D24" s="69"/>
      <c r="E24" s="69"/>
      <c r="F24" s="70">
        <v>27500</v>
      </c>
      <c r="G24" s="69"/>
      <c r="H24" s="70">
        <v>27500</v>
      </c>
      <c r="I24" s="69"/>
    </row>
    <row r="25" spans="1:9" s="49" customFormat="1" ht="12" customHeight="1" outlineLevel="4" x14ac:dyDescent="0.2">
      <c r="A25" s="84" t="s">
        <v>117</v>
      </c>
      <c r="B25" s="68" t="s">
        <v>96</v>
      </c>
      <c r="C25" s="68" t="s">
        <v>99</v>
      </c>
      <c r="D25" s="69"/>
      <c r="E25" s="69"/>
      <c r="F25" s="70">
        <v>104700</v>
      </c>
      <c r="G25" s="70">
        <v>104700</v>
      </c>
      <c r="H25" s="69"/>
      <c r="I25" s="69"/>
    </row>
    <row r="26" spans="1:9" ht="13" customHeight="1" x14ac:dyDescent="0.2">
      <c r="A26" s="72" t="s">
        <v>39</v>
      </c>
      <c r="B26" s="72"/>
      <c r="C26" s="72"/>
      <c r="D26" s="73">
        <v>41720152.590000004</v>
      </c>
      <c r="E26" s="74"/>
      <c r="F26" s="73">
        <v>1110437962.8900001</v>
      </c>
      <c r="G26" s="73">
        <v>1137414480.3499999</v>
      </c>
      <c r="H26" s="73">
        <v>14743635.130000001</v>
      </c>
      <c r="I26" s="74"/>
    </row>
  </sheetData>
  <autoFilter ref="A11:I26" xr:uid="{F20449B3-2160-42FD-9C64-745B94EAD88F}"/>
  <pageMargins left="0.19685039370078741" right="0.19685039370078741" top="0.39370078740157483" bottom="0.39370078740157483" header="0" footer="0"/>
  <pageSetup paperSize="9" fitToHeight="0" pageOrder="overThenDown" orientation="portrait" useFirstPageNumber="1"/>
  <headerFooter>
    <oddHeader>&amp;L&amp;"Arial,normal"&amp;8&amp;D &amp;T</oddHead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C54F-4D05-4363-8040-14D54AA33FAC}">
  <sheetPr>
    <tabColor theme="8" tint="0.59999389629810485"/>
    <outlinePr summaryBelow="0" summaryRight="0"/>
    <pageSetUpPr autoPageBreaks="0" fitToPage="1"/>
  </sheetPr>
  <dimension ref="A1:G17"/>
  <sheetViews>
    <sheetView tabSelected="1" workbookViewId="0">
      <selection activeCell="A16" sqref="A16"/>
    </sheetView>
  </sheetViews>
  <sheetFormatPr defaultColWidth="8.54296875" defaultRowHeight="11.4" customHeight="1" outlineLevelRow="4" x14ac:dyDescent="0.2"/>
  <cols>
    <col min="1" max="1" width="28.6328125" style="49" customWidth="1"/>
    <col min="2" max="7" width="15.81640625" style="49" customWidth="1"/>
    <col min="8" max="16384" width="8.54296875" style="46"/>
  </cols>
  <sheetData>
    <row r="1" spans="1:7" ht="13" customHeight="1" x14ac:dyDescent="0.3">
      <c r="A1" s="45" t="s">
        <v>61</v>
      </c>
      <c r="B1" s="45"/>
      <c r="C1" s="45"/>
      <c r="D1" s="45"/>
      <c r="E1" s="45"/>
      <c r="F1" s="45"/>
      <c r="G1" s="45"/>
    </row>
    <row r="2" spans="1:7" ht="16" customHeight="1" x14ac:dyDescent="0.35">
      <c r="A2" s="47" t="s">
        <v>100</v>
      </c>
      <c r="B2" s="48"/>
      <c r="C2" s="48"/>
      <c r="D2" s="48"/>
      <c r="E2" s="48"/>
    </row>
    <row r="3" spans="1:7" s="49" customFormat="1" ht="2" customHeight="1" x14ac:dyDescent="0.2"/>
    <row r="4" spans="1:7" ht="11" customHeight="1" x14ac:dyDescent="0.2">
      <c r="A4" s="50" t="s">
        <v>101</v>
      </c>
      <c r="B4" s="51"/>
      <c r="C4" s="52"/>
      <c r="D4" s="52"/>
      <c r="E4" s="52"/>
      <c r="F4" s="52"/>
      <c r="G4" s="52"/>
    </row>
    <row r="5" spans="1:7" s="49" customFormat="1" ht="2" customHeight="1" x14ac:dyDescent="0.2">
      <c r="A5" s="53"/>
      <c r="B5" s="53"/>
      <c r="C5" s="48"/>
      <c r="D5" s="48"/>
      <c r="E5" s="48"/>
      <c r="F5" s="48"/>
      <c r="G5" s="48"/>
    </row>
    <row r="6" spans="1:7" ht="13" customHeight="1" x14ac:dyDescent="0.2">
      <c r="A6" s="54" t="s">
        <v>78</v>
      </c>
      <c r="B6" s="55" t="s">
        <v>79</v>
      </c>
      <c r="C6" s="55"/>
      <c r="D6" s="55" t="s">
        <v>80</v>
      </c>
      <c r="E6" s="55"/>
      <c r="F6" s="55" t="s">
        <v>81</v>
      </c>
      <c r="G6" s="55"/>
    </row>
    <row r="7" spans="1:7" ht="13" customHeight="1" x14ac:dyDescent="0.2">
      <c r="A7" s="54" t="s">
        <v>5</v>
      </c>
      <c r="B7" s="56" t="s">
        <v>82</v>
      </c>
      <c r="C7" s="56" t="s">
        <v>83</v>
      </c>
      <c r="D7" s="56" t="s">
        <v>82</v>
      </c>
      <c r="E7" s="56" t="s">
        <v>83</v>
      </c>
      <c r="F7" s="56" t="s">
        <v>82</v>
      </c>
      <c r="G7" s="56" t="s">
        <v>83</v>
      </c>
    </row>
    <row r="8" spans="1:7" ht="13" customHeight="1" x14ac:dyDescent="0.2">
      <c r="A8" s="54" t="s">
        <v>84</v>
      </c>
      <c r="B8" s="57"/>
      <c r="C8" s="57"/>
      <c r="D8" s="57"/>
      <c r="E8" s="57"/>
      <c r="F8" s="57"/>
      <c r="G8" s="57"/>
    </row>
    <row r="9" spans="1:7" ht="13" customHeight="1" x14ac:dyDescent="0.2">
      <c r="A9" s="58" t="s">
        <v>85</v>
      </c>
      <c r="B9" s="59">
        <v>41720152.590000004</v>
      </c>
      <c r="C9" s="60"/>
      <c r="D9" s="59">
        <v>1110437962.8900001</v>
      </c>
      <c r="E9" s="59">
        <v>1137414480.3499999</v>
      </c>
      <c r="F9" s="59">
        <v>14743635.130000001</v>
      </c>
      <c r="G9" s="60"/>
    </row>
    <row r="10" spans="1:7" ht="13" customHeight="1" outlineLevel="1" x14ac:dyDescent="0.2">
      <c r="A10" s="61" t="s">
        <v>86</v>
      </c>
      <c r="B10" s="59">
        <v>1850819.26</v>
      </c>
      <c r="C10" s="60"/>
      <c r="D10" s="59">
        <v>265977981.31</v>
      </c>
      <c r="E10" s="59">
        <v>263012609.5</v>
      </c>
      <c r="F10" s="59">
        <v>4816191.07</v>
      </c>
      <c r="G10" s="60"/>
    </row>
    <row r="11" spans="1:7" ht="12" customHeight="1" outlineLevel="2" x14ac:dyDescent="0.2">
      <c r="A11" s="62" t="s">
        <v>31</v>
      </c>
      <c r="B11" s="63"/>
      <c r="C11" s="63"/>
      <c r="D11" s="64">
        <v>19300</v>
      </c>
      <c r="E11" s="64">
        <v>19300</v>
      </c>
      <c r="F11" s="63"/>
      <c r="G11" s="63"/>
    </row>
    <row r="12" spans="1:7" s="49" customFormat="1" ht="25" customHeight="1" outlineLevel="3" x14ac:dyDescent="0.2">
      <c r="A12" s="65" t="s">
        <v>87</v>
      </c>
      <c r="B12" s="66"/>
      <c r="C12" s="66"/>
      <c r="D12" s="67">
        <v>19300</v>
      </c>
      <c r="E12" s="67">
        <v>19300</v>
      </c>
      <c r="F12" s="66"/>
      <c r="G12" s="66"/>
    </row>
    <row r="13" spans="1:7" s="49" customFormat="1" ht="12" customHeight="1" outlineLevel="4" x14ac:dyDescent="0.2">
      <c r="A13" s="68" t="s">
        <v>88</v>
      </c>
      <c r="B13" s="69"/>
      <c r="C13" s="69"/>
      <c r="D13" s="70">
        <v>19300</v>
      </c>
      <c r="E13" s="70">
        <v>19300</v>
      </c>
      <c r="F13" s="69"/>
      <c r="G13" s="69"/>
    </row>
    <row r="14" spans="1:7" ht="12" customHeight="1" outlineLevel="2" x14ac:dyDescent="0.2">
      <c r="A14" s="62" t="s">
        <v>16</v>
      </c>
      <c r="B14" s="63"/>
      <c r="C14" s="63"/>
      <c r="D14" s="64">
        <v>1295462.1599999999</v>
      </c>
      <c r="E14" s="64">
        <v>1295462.1599999999</v>
      </c>
      <c r="F14" s="63"/>
      <c r="G14" s="63"/>
    </row>
    <row r="15" spans="1:7" ht="13.5" customHeight="1" outlineLevel="3" x14ac:dyDescent="0.2">
      <c r="A15" s="65" t="s">
        <v>102</v>
      </c>
      <c r="B15" s="66"/>
      <c r="C15" s="66"/>
      <c r="D15" s="67">
        <v>21760</v>
      </c>
      <c r="E15" s="67">
        <v>21760</v>
      </c>
      <c r="F15" s="66"/>
      <c r="G15" s="66"/>
    </row>
    <row r="16" spans="1:7" ht="12" customHeight="1" outlineLevel="4" x14ac:dyDescent="0.2">
      <c r="A16" s="68" t="s">
        <v>88</v>
      </c>
      <c r="B16" s="69"/>
      <c r="C16" s="69"/>
      <c r="D16" s="70">
        <v>21760</v>
      </c>
      <c r="E16" s="70">
        <v>21760</v>
      </c>
      <c r="F16" s="69"/>
      <c r="G16" s="69"/>
    </row>
    <row r="17" spans="1:7" ht="37" customHeight="1" outlineLevel="3" x14ac:dyDescent="0.2">
      <c r="A17" s="65" t="s">
        <v>103</v>
      </c>
      <c r="B17" s="66"/>
      <c r="C17" s="66"/>
      <c r="D17" s="67">
        <v>255000</v>
      </c>
      <c r="E17" s="67">
        <v>255000</v>
      </c>
      <c r="F17" s="66"/>
      <c r="G17" s="66"/>
    </row>
  </sheetData>
  <mergeCells count="11">
    <mergeCell ref="G7:G8"/>
    <mergeCell ref="A1:G1"/>
    <mergeCell ref="A4:G4"/>
    <mergeCell ref="B6:C6"/>
    <mergeCell ref="D6:E6"/>
    <mergeCell ref="F6:G6"/>
    <mergeCell ref="B7:B8"/>
    <mergeCell ref="C7:C8"/>
    <mergeCell ref="D7:D8"/>
    <mergeCell ref="E7:E8"/>
    <mergeCell ref="F7:F8"/>
  </mergeCells>
  <pageMargins left="0.19685039370078741" right="0.19685039370078741" top="0.39370078740157483" bottom="0.39370078740157483" header="0" footer="0"/>
  <pageSetup paperSize="9" fitToHeight="0" pageOrder="overThenDown" orientation="portrait" useFirstPageNumber="1"/>
  <headerFooter>
    <oddHeader>&amp;L&amp;"Arial,normal"&amp;8&amp;D 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57711-CFA0-416A-9C1E-1F47AD5D35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Результат для отчёта</vt:lpstr>
      <vt:lpstr>Мэппинг ручной - пример по 01</vt:lpstr>
      <vt:lpstr>Исходная выгрузка 01</vt:lpstr>
      <vt:lpstr>Мэппинг ручной - пример по 08</vt:lpstr>
      <vt:lpstr>Исходная выгрузка 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LEVDONSKIY Anton</dc:creator>
  <cp:lastModifiedBy>LEVDONSKIY Anton</cp:lastModifiedBy>
  <dcterms:created xsi:type="dcterms:W3CDTF">2026-01-19T08:23:59Z</dcterms:created>
  <dcterms:modified xsi:type="dcterms:W3CDTF">2026-05-25T19:25:34Z</dcterms:modified>
</cp:coreProperties>
</file>